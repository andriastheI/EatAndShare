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filterPrivacy="1" codeName="ThisWorkbook"/>
  <xr:revisionPtr revIDLastSave="0" documentId="8_{494D6678-0310-864A-B72A-7CD927B64C7D}" xr6:coauthVersionLast="47" xr6:coauthVersionMax="47" xr10:uidLastSave="{00000000-0000-0000-0000-000000000000}"/>
  <bookViews>
    <workbookView xWindow="0" yWindow="760" windowWidth="29400" windowHeight="17580" tabRatio="415" firstSheet="1"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17" l="1"/>
  <c r="P21" i="17"/>
  <c r="P28" i="17"/>
  <c r="P42" i="17"/>
  <c r="P49" i="17"/>
  <c r="P56" i="17"/>
  <c r="P63" i="17"/>
  <c r="P70" i="17"/>
  <c r="C6" i="17" a="1"/>
  <c r="C6" i="17" s="1"/>
  <c r="F13" i="18"/>
  <c r="F12" i="18"/>
  <c r="F24" i="18" l="1"/>
  <c r="F25" i="18" s="1"/>
  <c r="F26" i="18" s="1"/>
  <c r="F15" i="18"/>
  <c r="F18" i="18"/>
  <c r="F19" i="18" s="1"/>
  <c r="F20" i="18" s="1"/>
  <c r="F21" i="18" s="1"/>
  <c r="F16" i="18"/>
  <c r="F28" i="18" s="1"/>
  <c r="F14" i="18"/>
  <c r="F27" i="18" l="1"/>
  <c r="F30" i="18" s="1"/>
  <c r="F31" i="18" s="1"/>
  <c r="F32" i="18" s="1"/>
  <c r="F22" i="18"/>
  <c r="I7" i="17"/>
  <c r="I11" i="17" l="1"/>
  <c r="I12" i="17"/>
  <c r="I14" i="17"/>
  <c r="I15" i="17"/>
  <c r="I17" i="17"/>
  <c r="I18" i="17"/>
  <c r="I19" i="17"/>
  <c r="I21" i="17"/>
  <c r="I22" i="17"/>
  <c r="I24" i="17"/>
  <c r="I25" i="17"/>
  <c r="I26" i="17"/>
  <c r="I28" i="17"/>
  <c r="I29" i="17"/>
  <c r="I31" i="17"/>
  <c r="I32" i="17"/>
  <c r="I33" i="17"/>
  <c r="I35" i="17"/>
  <c r="I36" i="17"/>
  <c r="I38" i="17"/>
  <c r="I39" i="17"/>
  <c r="I40" i="17"/>
  <c r="I42" i="17"/>
  <c r="I43" i="17"/>
  <c r="I45" i="17"/>
  <c r="I46" i="17"/>
  <c r="I47" i="17"/>
  <c r="I49" i="17"/>
  <c r="I50" i="17"/>
  <c r="I52" i="17"/>
  <c r="I53" i="17"/>
  <c r="I54" i="17"/>
  <c r="I56" i="17"/>
  <c r="I57" i="17"/>
  <c r="I59" i="17"/>
  <c r="I60" i="17"/>
  <c r="I61" i="17"/>
  <c r="I63" i="17"/>
  <c r="I64" i="17"/>
  <c r="I66" i="17"/>
  <c r="I67" i="17"/>
  <c r="I68" i="17"/>
  <c r="I70" i="17"/>
  <c r="I71" i="17"/>
  <c r="I73" i="17"/>
  <c r="I75" i="17"/>
  <c r="C6" i="18" a="1"/>
  <c r="C6" i="18" s="1"/>
  <c r="I7" i="18" s="1"/>
  <c r="I26" i="18" s="1"/>
  <c r="J7" i="17"/>
  <c r="I9" i="17"/>
  <c r="I6" i="17"/>
  <c r="J11" i="17" l="1"/>
  <c r="J12" i="17"/>
  <c r="J14" i="17"/>
  <c r="J15" i="17"/>
  <c r="J17" i="17"/>
  <c r="J18" i="17"/>
  <c r="J19" i="17"/>
  <c r="J21" i="17"/>
  <c r="J22" i="17"/>
  <c r="J24" i="17"/>
  <c r="J25" i="17"/>
  <c r="J26" i="17"/>
  <c r="J28" i="17"/>
  <c r="J29" i="17"/>
  <c r="J31" i="17"/>
  <c r="J32" i="17"/>
  <c r="J33" i="17"/>
  <c r="J35" i="17"/>
  <c r="J36" i="17"/>
  <c r="J38" i="17"/>
  <c r="J39" i="17"/>
  <c r="J40" i="17"/>
  <c r="J42" i="17"/>
  <c r="J43" i="17"/>
  <c r="J45" i="17"/>
  <c r="J46" i="17"/>
  <c r="J47" i="17"/>
  <c r="J49" i="17"/>
  <c r="J50" i="17"/>
  <c r="J52" i="17"/>
  <c r="J53" i="17"/>
  <c r="J54" i="17"/>
  <c r="J56" i="17"/>
  <c r="J57" i="17"/>
  <c r="J59" i="17"/>
  <c r="J60" i="17"/>
  <c r="J61" i="17"/>
  <c r="J63" i="17"/>
  <c r="J64" i="17"/>
  <c r="J66" i="17"/>
  <c r="J67" i="17"/>
  <c r="J68" i="17"/>
  <c r="J70" i="17"/>
  <c r="J71" i="17"/>
  <c r="J73" i="17"/>
  <c r="J75" i="17"/>
  <c r="K7" i="17"/>
  <c r="J9"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K11" i="17" l="1"/>
  <c r="K14" i="17"/>
  <c r="K15" i="17"/>
  <c r="K17" i="17"/>
  <c r="K18" i="17"/>
  <c r="K21" i="17"/>
  <c r="K22" i="17"/>
  <c r="K24" i="17"/>
  <c r="K25" i="17"/>
  <c r="K28" i="17"/>
  <c r="K29" i="17"/>
  <c r="K31" i="17"/>
  <c r="K32" i="17"/>
  <c r="K35" i="17"/>
  <c r="K36" i="17"/>
  <c r="K38" i="17"/>
  <c r="K39" i="17"/>
  <c r="K42" i="17"/>
  <c r="K43" i="17"/>
  <c r="K45" i="17"/>
  <c r="K46" i="17"/>
  <c r="K49" i="17"/>
  <c r="K50" i="17"/>
  <c r="K52" i="17"/>
  <c r="K53" i="17"/>
  <c r="K56" i="17"/>
  <c r="K57" i="17"/>
  <c r="K59" i="17"/>
  <c r="K60" i="17"/>
  <c r="K63" i="17"/>
  <c r="K64" i="17"/>
  <c r="K66" i="17"/>
  <c r="K67" i="17"/>
  <c r="K70" i="17"/>
  <c r="K71" i="17"/>
  <c r="K73" i="17"/>
  <c r="K75" i="17"/>
  <c r="J35" i="18"/>
  <c r="K9" i="17"/>
  <c r="L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L11" i="17" l="1"/>
  <c r="L12" i="17"/>
  <c r="L14" i="17"/>
  <c r="L15" i="17"/>
  <c r="L17" i="17"/>
  <c r="L18" i="17"/>
  <c r="L19" i="17"/>
  <c r="L21" i="17"/>
  <c r="L22" i="17"/>
  <c r="L24" i="17"/>
  <c r="L25" i="17"/>
  <c r="L26" i="17"/>
  <c r="L28" i="17"/>
  <c r="L29" i="17"/>
  <c r="L31" i="17"/>
  <c r="L32" i="17"/>
  <c r="L33" i="17"/>
  <c r="L35" i="17"/>
  <c r="L36" i="17"/>
  <c r="L38" i="17"/>
  <c r="L39" i="17"/>
  <c r="L40" i="17"/>
  <c r="L42" i="17"/>
  <c r="L43" i="17"/>
  <c r="L45" i="17"/>
  <c r="L46" i="17"/>
  <c r="L47" i="17"/>
  <c r="L49" i="17"/>
  <c r="L50" i="17"/>
  <c r="L52" i="17"/>
  <c r="L53" i="17"/>
  <c r="L54" i="17"/>
  <c r="L56" i="17"/>
  <c r="L57" i="17"/>
  <c r="L59" i="17"/>
  <c r="L60" i="17"/>
  <c r="L61" i="17"/>
  <c r="L63" i="17"/>
  <c r="L64" i="17"/>
  <c r="L66" i="17"/>
  <c r="L67" i="17"/>
  <c r="L68" i="17"/>
  <c r="L70" i="17"/>
  <c r="L71" i="17"/>
  <c r="L73" i="17"/>
  <c r="L75" i="17"/>
  <c r="K35" i="18"/>
  <c r="K26" i="18"/>
  <c r="K11" i="18"/>
  <c r="K12" i="18"/>
  <c r="K30" i="18"/>
  <c r="M7" i="17"/>
  <c r="L9" i="17"/>
  <c r="K21" i="18"/>
  <c r="K20" i="18"/>
  <c r="K31" i="18"/>
  <c r="K18" i="18"/>
  <c r="K24" i="18"/>
  <c r="K9" i="18"/>
  <c r="K25" i="18"/>
  <c r="K27" i="18"/>
  <c r="K34" i="18"/>
  <c r="K13" i="18"/>
  <c r="K14" i="18"/>
  <c r="K16" i="18"/>
  <c r="K22" i="18"/>
  <c r="K28" i="18"/>
  <c r="K32" i="18"/>
  <c r="K15" i="18"/>
  <c r="L7" i="18"/>
  <c r="L35" i="18" s="1"/>
  <c r="K19" i="18"/>
  <c r="K17" i="18"/>
  <c r="K23" i="18"/>
  <c r="K29" i="18"/>
  <c r="M11" i="17" l="1"/>
  <c r="M12" i="17"/>
  <c r="M14" i="17"/>
  <c r="M15" i="17"/>
  <c r="M17" i="17"/>
  <c r="M18" i="17"/>
  <c r="M19" i="17"/>
  <c r="M21" i="17"/>
  <c r="M22" i="17"/>
  <c r="M24" i="17"/>
  <c r="M25" i="17"/>
  <c r="M26" i="17"/>
  <c r="M28" i="17"/>
  <c r="M29" i="17"/>
  <c r="M31" i="17"/>
  <c r="M32" i="17"/>
  <c r="M33" i="17"/>
  <c r="M35" i="17"/>
  <c r="M36" i="17"/>
  <c r="M38" i="17"/>
  <c r="M39" i="17"/>
  <c r="M40" i="17"/>
  <c r="M42" i="17"/>
  <c r="M43" i="17"/>
  <c r="M45" i="17"/>
  <c r="M46" i="17"/>
  <c r="M47" i="17"/>
  <c r="M49" i="17"/>
  <c r="M50" i="17"/>
  <c r="M52" i="17"/>
  <c r="M53" i="17"/>
  <c r="M54" i="17"/>
  <c r="M56" i="17"/>
  <c r="M57" i="17"/>
  <c r="M59" i="17"/>
  <c r="M60" i="17"/>
  <c r="M61" i="17"/>
  <c r="M63" i="17"/>
  <c r="M64" i="17"/>
  <c r="M66" i="17"/>
  <c r="M67" i="17"/>
  <c r="M68" i="17"/>
  <c r="M70" i="17"/>
  <c r="M71" i="17"/>
  <c r="M73" i="17"/>
  <c r="M75" i="17"/>
  <c r="M9" i="17"/>
  <c r="N7"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N11" i="17" l="1"/>
  <c r="N12" i="17"/>
  <c r="N15" i="17"/>
  <c r="N17" i="17"/>
  <c r="N18" i="17"/>
  <c r="N19" i="17"/>
  <c r="N22" i="17"/>
  <c r="N24" i="17"/>
  <c r="N25" i="17"/>
  <c r="N26" i="17"/>
  <c r="N29" i="17"/>
  <c r="N31" i="17"/>
  <c r="N32" i="17"/>
  <c r="N33" i="17"/>
  <c r="N36" i="17"/>
  <c r="N38" i="17"/>
  <c r="N39" i="17"/>
  <c r="N40" i="17"/>
  <c r="N43" i="17"/>
  <c r="N45" i="17"/>
  <c r="N46" i="17"/>
  <c r="N47" i="17"/>
  <c r="N50" i="17"/>
  <c r="N52" i="17"/>
  <c r="N53" i="17"/>
  <c r="N54" i="17"/>
  <c r="N57" i="17"/>
  <c r="N59" i="17"/>
  <c r="N60" i="17"/>
  <c r="N61" i="17"/>
  <c r="N64" i="17"/>
  <c r="N66" i="17"/>
  <c r="N67" i="17"/>
  <c r="N68" i="17"/>
  <c r="N71" i="17"/>
  <c r="N73" i="17"/>
  <c r="N75" i="17"/>
  <c r="M35" i="18"/>
  <c r="O7" i="17"/>
  <c r="M33" i="18"/>
  <c r="N9"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1" i="17" l="1"/>
  <c r="O12" i="17"/>
  <c r="O14" i="17"/>
  <c r="O15" i="17"/>
  <c r="O17" i="17"/>
  <c r="O18" i="17"/>
  <c r="O19" i="17"/>
  <c r="O21" i="17"/>
  <c r="O22" i="17"/>
  <c r="O24" i="17"/>
  <c r="O25" i="17"/>
  <c r="O26" i="17"/>
  <c r="O28" i="17"/>
  <c r="O29" i="17"/>
  <c r="O31" i="17"/>
  <c r="O32" i="17"/>
  <c r="O33" i="17"/>
  <c r="O35" i="17"/>
  <c r="O36" i="17"/>
  <c r="O38" i="17"/>
  <c r="O39" i="17"/>
  <c r="O40" i="17"/>
  <c r="O42" i="17"/>
  <c r="O43" i="17"/>
  <c r="O45" i="17"/>
  <c r="O46" i="17"/>
  <c r="O47" i="17"/>
  <c r="O49" i="17"/>
  <c r="O50" i="17"/>
  <c r="O52" i="17"/>
  <c r="O53" i="17"/>
  <c r="O54" i="17"/>
  <c r="O56" i="17"/>
  <c r="O57" i="17"/>
  <c r="O59" i="17"/>
  <c r="O60" i="17"/>
  <c r="O61" i="17"/>
  <c r="O63" i="17"/>
  <c r="O64" i="17"/>
  <c r="O66" i="17"/>
  <c r="O67" i="17"/>
  <c r="O68" i="17"/>
  <c r="O70" i="17"/>
  <c r="O71" i="17"/>
  <c r="O73" i="17"/>
  <c r="O75" i="17"/>
  <c r="O9" i="17"/>
  <c r="P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1" i="17" l="1"/>
  <c r="P12" i="17"/>
  <c r="P15" i="17"/>
  <c r="P17" i="17"/>
  <c r="P18" i="17"/>
  <c r="P19" i="17"/>
  <c r="P22" i="17"/>
  <c r="P24" i="17"/>
  <c r="P25" i="17"/>
  <c r="P26" i="17"/>
  <c r="P29" i="17"/>
  <c r="P31" i="17"/>
  <c r="P32" i="17"/>
  <c r="P33" i="17"/>
  <c r="P36" i="17"/>
  <c r="P38" i="17"/>
  <c r="P39" i="17"/>
  <c r="P40" i="17"/>
  <c r="P43" i="17"/>
  <c r="P45" i="17"/>
  <c r="P46" i="17"/>
  <c r="P47" i="17"/>
  <c r="P50" i="17"/>
  <c r="P52" i="17"/>
  <c r="P53" i="17"/>
  <c r="P54" i="17"/>
  <c r="P57" i="17"/>
  <c r="P59" i="17"/>
  <c r="P60" i="17"/>
  <c r="P61" i="17"/>
  <c r="P64" i="17"/>
  <c r="P66" i="17"/>
  <c r="P67" i="17"/>
  <c r="P68" i="17"/>
  <c r="P71" i="17"/>
  <c r="P73" i="17"/>
  <c r="P75" i="17"/>
  <c r="P6" i="17"/>
  <c r="P9" i="17"/>
  <c r="Q7"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Q11" i="17" l="1"/>
  <c r="Q12" i="17"/>
  <c r="Q14" i="17"/>
  <c r="Q15" i="17"/>
  <c r="Q17" i="17"/>
  <c r="Q18" i="17"/>
  <c r="Q19" i="17"/>
  <c r="Q21" i="17"/>
  <c r="Q22" i="17"/>
  <c r="Q24" i="17"/>
  <c r="Q25" i="17"/>
  <c r="Q26" i="17"/>
  <c r="Q28" i="17"/>
  <c r="Q29" i="17"/>
  <c r="Q31" i="17"/>
  <c r="Q32" i="17"/>
  <c r="Q33" i="17"/>
  <c r="Q35" i="17"/>
  <c r="Q36" i="17"/>
  <c r="Q38" i="17"/>
  <c r="Q39" i="17"/>
  <c r="Q40" i="17"/>
  <c r="Q42" i="17"/>
  <c r="Q43" i="17"/>
  <c r="Q45" i="17"/>
  <c r="Q46" i="17"/>
  <c r="Q47" i="17"/>
  <c r="Q49" i="17"/>
  <c r="Q50" i="17"/>
  <c r="Q52" i="17"/>
  <c r="Q53" i="17"/>
  <c r="Q54" i="17"/>
  <c r="Q56" i="17"/>
  <c r="Q57" i="17"/>
  <c r="Q59" i="17"/>
  <c r="Q60" i="17"/>
  <c r="Q61" i="17"/>
  <c r="Q63" i="17"/>
  <c r="Q64" i="17"/>
  <c r="Q66" i="17"/>
  <c r="Q67" i="17"/>
  <c r="Q68" i="17"/>
  <c r="Q70" i="17"/>
  <c r="Q71" i="17"/>
  <c r="Q73" i="17"/>
  <c r="Q75" i="17"/>
  <c r="P35" i="18"/>
  <c r="P34" i="18"/>
  <c r="Q9" i="17"/>
  <c r="R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11" i="17" l="1"/>
  <c r="R12" i="17"/>
  <c r="R14" i="17"/>
  <c r="R17" i="17"/>
  <c r="R18" i="17"/>
  <c r="R19" i="17"/>
  <c r="R21" i="17"/>
  <c r="R24" i="17"/>
  <c r="R25" i="17"/>
  <c r="R26" i="17"/>
  <c r="R28" i="17"/>
  <c r="R31" i="17"/>
  <c r="R32" i="17"/>
  <c r="R33" i="17"/>
  <c r="R35" i="17"/>
  <c r="R38" i="17"/>
  <c r="R39" i="17"/>
  <c r="R40" i="17"/>
  <c r="R42" i="17"/>
  <c r="R45" i="17"/>
  <c r="R46" i="17"/>
  <c r="R47" i="17"/>
  <c r="R49" i="17"/>
  <c r="R52" i="17"/>
  <c r="R53" i="17"/>
  <c r="R54" i="17"/>
  <c r="R56" i="17"/>
  <c r="R59" i="17"/>
  <c r="R60" i="17"/>
  <c r="R61" i="17"/>
  <c r="R63" i="17"/>
  <c r="R66" i="17"/>
  <c r="R67" i="17"/>
  <c r="R68" i="17"/>
  <c r="R70" i="17"/>
  <c r="R73" i="17"/>
  <c r="R75" i="17"/>
  <c r="S7" i="17"/>
  <c r="R9" i="17"/>
  <c r="Q35" i="18"/>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11" i="17" l="1"/>
  <c r="S12" i="17"/>
  <c r="S14" i="17"/>
  <c r="S15" i="17"/>
  <c r="R15" i="17" s="1"/>
  <c r="S17" i="17"/>
  <c r="S18" i="17"/>
  <c r="S19" i="17"/>
  <c r="S21" i="17"/>
  <c r="S22" i="17"/>
  <c r="R22" i="17" s="1"/>
  <c r="S24" i="17"/>
  <c r="S25" i="17"/>
  <c r="S26" i="17"/>
  <c r="S28" i="17"/>
  <c r="S29" i="17"/>
  <c r="R29" i="17" s="1"/>
  <c r="S31" i="17"/>
  <c r="S32" i="17"/>
  <c r="S33" i="17"/>
  <c r="S35" i="17"/>
  <c r="S36" i="17"/>
  <c r="R36" i="17" s="1"/>
  <c r="S38" i="17"/>
  <c r="S39" i="17"/>
  <c r="S40" i="17"/>
  <c r="S42" i="17"/>
  <c r="S43" i="17"/>
  <c r="R43" i="17" s="1"/>
  <c r="S45" i="17"/>
  <c r="S46" i="17"/>
  <c r="S47" i="17"/>
  <c r="S49" i="17"/>
  <c r="S50" i="17"/>
  <c r="R50" i="17" s="1"/>
  <c r="S52" i="17"/>
  <c r="S53" i="17"/>
  <c r="S54" i="17"/>
  <c r="S56" i="17"/>
  <c r="S57" i="17"/>
  <c r="R57" i="17" s="1"/>
  <c r="S59" i="17"/>
  <c r="S60" i="17"/>
  <c r="S61" i="17"/>
  <c r="S63" i="17"/>
  <c r="S64" i="17"/>
  <c r="R64" i="17" s="1"/>
  <c r="S66" i="17"/>
  <c r="S67" i="17"/>
  <c r="S68" i="17"/>
  <c r="S70" i="17"/>
  <c r="S71" i="17"/>
  <c r="R71" i="17" s="1"/>
  <c r="S73" i="17"/>
  <c r="S75" i="17"/>
  <c r="T7" i="17"/>
  <c r="S9"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1" i="17" l="1"/>
  <c r="T12" i="17"/>
  <c r="T14" i="17"/>
  <c r="T15" i="17"/>
  <c r="T17" i="17"/>
  <c r="T18" i="17"/>
  <c r="T19" i="17"/>
  <c r="T21" i="17"/>
  <c r="T22" i="17"/>
  <c r="T24" i="17"/>
  <c r="T25" i="17"/>
  <c r="T26" i="17"/>
  <c r="T28" i="17"/>
  <c r="T29" i="17"/>
  <c r="T31" i="17"/>
  <c r="T32" i="17"/>
  <c r="T33" i="17"/>
  <c r="T35" i="17"/>
  <c r="T36" i="17"/>
  <c r="T38" i="17"/>
  <c r="T39" i="17"/>
  <c r="T40" i="17"/>
  <c r="T42" i="17"/>
  <c r="T43" i="17"/>
  <c r="T45" i="17"/>
  <c r="T46" i="17"/>
  <c r="T47" i="17"/>
  <c r="T49" i="17"/>
  <c r="T50" i="17"/>
  <c r="T52" i="17"/>
  <c r="T53" i="17"/>
  <c r="T54" i="17"/>
  <c r="T56" i="17"/>
  <c r="T57" i="17"/>
  <c r="T59" i="17"/>
  <c r="T60" i="17"/>
  <c r="T61" i="17"/>
  <c r="T63" i="17"/>
  <c r="T64" i="17"/>
  <c r="T66" i="17"/>
  <c r="T67" i="17"/>
  <c r="T68" i="17"/>
  <c r="T70" i="17"/>
  <c r="T71" i="17"/>
  <c r="T73" i="17"/>
  <c r="T75" i="17"/>
  <c r="U7" i="17"/>
  <c r="T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1" i="17" l="1"/>
  <c r="U12" i="17"/>
  <c r="U14" i="17"/>
  <c r="U15" i="17"/>
  <c r="U17" i="17"/>
  <c r="U18" i="17"/>
  <c r="U19" i="17"/>
  <c r="U21" i="17"/>
  <c r="U22" i="17"/>
  <c r="U24" i="17"/>
  <c r="U25" i="17"/>
  <c r="U26" i="17"/>
  <c r="U28" i="17"/>
  <c r="U29" i="17"/>
  <c r="U31" i="17"/>
  <c r="U32" i="17"/>
  <c r="U33" i="17"/>
  <c r="U35" i="17"/>
  <c r="U36" i="17"/>
  <c r="U38" i="17"/>
  <c r="U39" i="17"/>
  <c r="U40" i="17"/>
  <c r="U42" i="17"/>
  <c r="U43" i="17"/>
  <c r="U45" i="17"/>
  <c r="U46" i="17"/>
  <c r="U47" i="17"/>
  <c r="U49" i="17"/>
  <c r="U50" i="17"/>
  <c r="U52" i="17"/>
  <c r="U53" i="17"/>
  <c r="U54" i="17"/>
  <c r="U56" i="17"/>
  <c r="U57" i="17"/>
  <c r="U59" i="17"/>
  <c r="U60" i="17"/>
  <c r="U61" i="17"/>
  <c r="U63" i="17"/>
  <c r="U64" i="17"/>
  <c r="U66" i="17"/>
  <c r="U67" i="17"/>
  <c r="U68" i="17"/>
  <c r="U70" i="17"/>
  <c r="U71" i="17"/>
  <c r="U73" i="17"/>
  <c r="U75" i="17"/>
  <c r="V7" i="17"/>
  <c r="U9"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V11" i="17" l="1"/>
  <c r="V12" i="17"/>
  <c r="V14" i="17"/>
  <c r="V15" i="17"/>
  <c r="V17" i="17"/>
  <c r="V18" i="17"/>
  <c r="V19" i="17"/>
  <c r="V21" i="17"/>
  <c r="V22" i="17"/>
  <c r="V24" i="17"/>
  <c r="V25" i="17"/>
  <c r="V26" i="17"/>
  <c r="V28" i="17"/>
  <c r="V29" i="17"/>
  <c r="V31" i="17"/>
  <c r="V32" i="17"/>
  <c r="V33" i="17"/>
  <c r="V35" i="17"/>
  <c r="V36" i="17"/>
  <c r="V38" i="17"/>
  <c r="V39" i="17"/>
  <c r="V40" i="17"/>
  <c r="V42" i="17"/>
  <c r="V43" i="17"/>
  <c r="V45" i="17"/>
  <c r="V46" i="17"/>
  <c r="V47" i="17"/>
  <c r="V49" i="17"/>
  <c r="V50" i="17"/>
  <c r="V52" i="17"/>
  <c r="V53" i="17"/>
  <c r="V54" i="17"/>
  <c r="V56" i="17"/>
  <c r="V57" i="17"/>
  <c r="V59" i="17"/>
  <c r="V60" i="17"/>
  <c r="V61" i="17"/>
  <c r="V63" i="17"/>
  <c r="V64" i="17"/>
  <c r="V66" i="17"/>
  <c r="V67" i="17"/>
  <c r="V68" i="17"/>
  <c r="V70" i="17"/>
  <c r="V71" i="17"/>
  <c r="V73" i="17"/>
  <c r="V75" i="17"/>
  <c r="U34" i="18"/>
  <c r="W7" i="17"/>
  <c r="V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11" i="17" l="1"/>
  <c r="W12" i="17"/>
  <c r="W14" i="17"/>
  <c r="W15" i="17"/>
  <c r="W17" i="17"/>
  <c r="W18" i="17"/>
  <c r="W19" i="17"/>
  <c r="W21" i="17"/>
  <c r="W22" i="17"/>
  <c r="W24" i="17"/>
  <c r="W25" i="17"/>
  <c r="W26" i="17"/>
  <c r="W28" i="17"/>
  <c r="W29" i="17"/>
  <c r="W31" i="17"/>
  <c r="W32" i="17"/>
  <c r="W33" i="17"/>
  <c r="W35" i="17"/>
  <c r="W36" i="17"/>
  <c r="W38" i="17"/>
  <c r="W39" i="17"/>
  <c r="W40" i="17"/>
  <c r="W42" i="17"/>
  <c r="W43" i="17"/>
  <c r="W45" i="17"/>
  <c r="W46" i="17"/>
  <c r="W47" i="17"/>
  <c r="W49" i="17"/>
  <c r="W50" i="17"/>
  <c r="W52" i="17"/>
  <c r="W53" i="17"/>
  <c r="W54" i="17"/>
  <c r="W56" i="17"/>
  <c r="W57" i="17"/>
  <c r="W59" i="17"/>
  <c r="W60" i="17"/>
  <c r="W61" i="17"/>
  <c r="W63" i="17"/>
  <c r="W64" i="17"/>
  <c r="W66" i="17"/>
  <c r="W67" i="17"/>
  <c r="W68" i="17"/>
  <c r="W70" i="17"/>
  <c r="W71" i="17"/>
  <c r="W73" i="17"/>
  <c r="W75" i="17"/>
  <c r="X7" i="17"/>
  <c r="W6" i="17"/>
  <c r="W9"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11" i="17" l="1"/>
  <c r="X12" i="17"/>
  <c r="X14" i="17"/>
  <c r="X15" i="17"/>
  <c r="X17" i="17"/>
  <c r="X18" i="17"/>
  <c r="X19" i="17"/>
  <c r="X21" i="17"/>
  <c r="X22" i="17"/>
  <c r="X24" i="17"/>
  <c r="X25" i="17"/>
  <c r="X26" i="17"/>
  <c r="X28" i="17"/>
  <c r="X29" i="17"/>
  <c r="X31" i="17"/>
  <c r="X32" i="17"/>
  <c r="X33" i="17"/>
  <c r="X35" i="17"/>
  <c r="X36" i="17"/>
  <c r="X38" i="17"/>
  <c r="X39" i="17"/>
  <c r="X40" i="17"/>
  <c r="X42" i="17"/>
  <c r="X43" i="17"/>
  <c r="X45" i="17"/>
  <c r="X46" i="17"/>
  <c r="X47" i="17"/>
  <c r="X49" i="17"/>
  <c r="X50" i="17"/>
  <c r="X52" i="17"/>
  <c r="X53" i="17"/>
  <c r="X54" i="17"/>
  <c r="X56" i="17"/>
  <c r="X57" i="17"/>
  <c r="X59" i="17"/>
  <c r="X60" i="17"/>
  <c r="X61" i="17"/>
  <c r="X63" i="17"/>
  <c r="X64" i="17"/>
  <c r="X66" i="17"/>
  <c r="X67" i="17"/>
  <c r="X68" i="17"/>
  <c r="X70" i="17"/>
  <c r="X71" i="17"/>
  <c r="X73" i="17"/>
  <c r="X75" i="17"/>
  <c r="Y7" i="17"/>
  <c r="X9"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11" i="17" l="1"/>
  <c r="Y12" i="17"/>
  <c r="Y14" i="17"/>
  <c r="Y15" i="17"/>
  <c r="Y17" i="17"/>
  <c r="Y18" i="17"/>
  <c r="Y19" i="17"/>
  <c r="Y21" i="17"/>
  <c r="Y22" i="17"/>
  <c r="Y24" i="17"/>
  <c r="Y25" i="17"/>
  <c r="Y26" i="17"/>
  <c r="Y28" i="17"/>
  <c r="Y29" i="17"/>
  <c r="Y31" i="17"/>
  <c r="Y32" i="17"/>
  <c r="Y33" i="17"/>
  <c r="Y35" i="17"/>
  <c r="Y36" i="17"/>
  <c r="Y38" i="17"/>
  <c r="Y39" i="17"/>
  <c r="Y40" i="17"/>
  <c r="Y42" i="17"/>
  <c r="Y43" i="17"/>
  <c r="Y45" i="17"/>
  <c r="Y46" i="17"/>
  <c r="Y47" i="17"/>
  <c r="Y49" i="17"/>
  <c r="Y50" i="17"/>
  <c r="Y52" i="17"/>
  <c r="Y53" i="17"/>
  <c r="Y54" i="17"/>
  <c r="Y56" i="17"/>
  <c r="Y57" i="17"/>
  <c r="Y59" i="17"/>
  <c r="Y60" i="17"/>
  <c r="Y61" i="17"/>
  <c r="Y63" i="17"/>
  <c r="Y64" i="17"/>
  <c r="Y66" i="17"/>
  <c r="Y67" i="17"/>
  <c r="Y68" i="17"/>
  <c r="Y70" i="17"/>
  <c r="Y71" i="17"/>
  <c r="Y73" i="17"/>
  <c r="Y75" i="17"/>
  <c r="Y9" i="17"/>
  <c r="Z7"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11" i="17" l="1"/>
  <c r="Z12" i="17"/>
  <c r="Z14" i="17"/>
  <c r="Z15" i="17"/>
  <c r="Z17" i="17"/>
  <c r="Z18" i="17"/>
  <c r="Z19" i="17"/>
  <c r="Z21" i="17"/>
  <c r="Z22" i="17"/>
  <c r="Z24" i="17"/>
  <c r="Z25" i="17"/>
  <c r="Z26" i="17"/>
  <c r="Z28" i="17"/>
  <c r="Z29" i="17"/>
  <c r="Z31" i="17"/>
  <c r="Z32" i="17"/>
  <c r="Z33" i="17"/>
  <c r="Z35" i="17"/>
  <c r="Z36" i="17"/>
  <c r="Z38" i="17"/>
  <c r="Z39" i="17"/>
  <c r="Z40" i="17"/>
  <c r="Z42" i="17"/>
  <c r="Z43" i="17"/>
  <c r="Z45" i="17"/>
  <c r="Z46" i="17"/>
  <c r="Z47" i="17"/>
  <c r="Z49" i="17"/>
  <c r="Z50" i="17"/>
  <c r="Z52" i="17"/>
  <c r="Z53" i="17"/>
  <c r="Z54" i="17"/>
  <c r="Z56" i="17"/>
  <c r="Z57" i="17"/>
  <c r="Z59" i="17"/>
  <c r="Z60" i="17"/>
  <c r="Z61" i="17"/>
  <c r="Z63" i="17"/>
  <c r="Z64" i="17"/>
  <c r="Z66" i="17"/>
  <c r="Z67" i="17"/>
  <c r="Z68" i="17"/>
  <c r="Z70" i="17"/>
  <c r="Z71" i="17"/>
  <c r="Z73" i="17"/>
  <c r="Z75" i="17"/>
  <c r="Z9" i="17"/>
  <c r="AA7"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11" i="17" l="1"/>
  <c r="AA12" i="17"/>
  <c r="AA14" i="17"/>
  <c r="AA15" i="17"/>
  <c r="AA17" i="17"/>
  <c r="AA18" i="17"/>
  <c r="AA19" i="17"/>
  <c r="AA21" i="17"/>
  <c r="AA22" i="17"/>
  <c r="AA24" i="17"/>
  <c r="AA25" i="17"/>
  <c r="AA26" i="17"/>
  <c r="AA28" i="17"/>
  <c r="AA29" i="17"/>
  <c r="AA31" i="17"/>
  <c r="AA32" i="17"/>
  <c r="AA33" i="17"/>
  <c r="AA35" i="17"/>
  <c r="AA36" i="17"/>
  <c r="AA38" i="17"/>
  <c r="AA39" i="17"/>
  <c r="AA40" i="17"/>
  <c r="AA42" i="17"/>
  <c r="AA43" i="17"/>
  <c r="AA45" i="17"/>
  <c r="AA46" i="17"/>
  <c r="AA47" i="17"/>
  <c r="AA49" i="17"/>
  <c r="AA50" i="17"/>
  <c r="AA52" i="17"/>
  <c r="AA53" i="17"/>
  <c r="AA54" i="17"/>
  <c r="AA56" i="17"/>
  <c r="AA57" i="17"/>
  <c r="AA59" i="17"/>
  <c r="AA60" i="17"/>
  <c r="AA61" i="17"/>
  <c r="AA63" i="17"/>
  <c r="AA64" i="17"/>
  <c r="AA66" i="17"/>
  <c r="AA67" i="17"/>
  <c r="AA68" i="17"/>
  <c r="AA70" i="17"/>
  <c r="AA71" i="17"/>
  <c r="AA73" i="17"/>
  <c r="AA75" i="17"/>
  <c r="AA9" i="17"/>
  <c r="AB7"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11" i="17" l="1"/>
  <c r="AB12" i="17"/>
  <c r="AB14" i="17"/>
  <c r="AB15" i="17"/>
  <c r="AB17" i="17"/>
  <c r="AB18" i="17"/>
  <c r="AB19" i="17"/>
  <c r="AB21" i="17"/>
  <c r="AB22" i="17"/>
  <c r="AB24" i="17"/>
  <c r="AB25" i="17"/>
  <c r="AB26" i="17"/>
  <c r="AB28" i="17"/>
  <c r="AB29" i="17"/>
  <c r="AB31" i="17"/>
  <c r="AB32" i="17"/>
  <c r="AB33" i="17"/>
  <c r="AB35" i="17"/>
  <c r="AB36" i="17"/>
  <c r="AB38" i="17"/>
  <c r="AB39" i="17"/>
  <c r="AB40" i="17"/>
  <c r="AB42" i="17"/>
  <c r="AB43" i="17"/>
  <c r="AB45" i="17"/>
  <c r="AB46" i="17"/>
  <c r="AB47" i="17"/>
  <c r="AB49" i="17"/>
  <c r="AB50" i="17"/>
  <c r="AB52" i="17"/>
  <c r="AB53" i="17"/>
  <c r="AB54" i="17"/>
  <c r="AB56" i="17"/>
  <c r="AB57" i="17"/>
  <c r="AB59" i="17"/>
  <c r="AB60" i="17"/>
  <c r="AB61" i="17"/>
  <c r="AB63" i="17"/>
  <c r="AB64" i="17"/>
  <c r="AB66" i="17"/>
  <c r="AB67" i="17"/>
  <c r="AB68" i="17"/>
  <c r="AB70" i="17"/>
  <c r="AB71" i="17"/>
  <c r="AB73" i="17"/>
  <c r="AB75" i="17"/>
  <c r="AC7" i="17"/>
  <c r="AB9"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11" i="17" l="1"/>
  <c r="AC12" i="17"/>
  <c r="AC14" i="17"/>
  <c r="AC15" i="17"/>
  <c r="AC17" i="17"/>
  <c r="AC18" i="17"/>
  <c r="AC19" i="17"/>
  <c r="AC21" i="17"/>
  <c r="AC22" i="17"/>
  <c r="AC24" i="17"/>
  <c r="AC25" i="17"/>
  <c r="AC26" i="17"/>
  <c r="AC28" i="17"/>
  <c r="AC29" i="17"/>
  <c r="AC31" i="17"/>
  <c r="AC32" i="17"/>
  <c r="AC33" i="17"/>
  <c r="AC35" i="17"/>
  <c r="AC36" i="17"/>
  <c r="AC38" i="17"/>
  <c r="AC39" i="17"/>
  <c r="AC40" i="17"/>
  <c r="AC42" i="17"/>
  <c r="AC43" i="17"/>
  <c r="AC45" i="17"/>
  <c r="AC46" i="17"/>
  <c r="AC47" i="17"/>
  <c r="AC49" i="17"/>
  <c r="AC50" i="17"/>
  <c r="AC52" i="17"/>
  <c r="AC53" i="17"/>
  <c r="AC54" i="17"/>
  <c r="AC56" i="17"/>
  <c r="AC57" i="17"/>
  <c r="AC59" i="17"/>
  <c r="AC60" i="17"/>
  <c r="AC61" i="17"/>
  <c r="AC63" i="17"/>
  <c r="AC64" i="17"/>
  <c r="AC66" i="17"/>
  <c r="AC67" i="17"/>
  <c r="AC68" i="17"/>
  <c r="AC70" i="17"/>
  <c r="AC71" i="17"/>
  <c r="AC73" i="17"/>
  <c r="AC75" i="17"/>
  <c r="AD7" i="17"/>
  <c r="AC9"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11" i="17" l="1"/>
  <c r="AD12" i="17"/>
  <c r="AD14" i="17"/>
  <c r="AD15" i="17"/>
  <c r="AD17" i="17"/>
  <c r="AD18" i="17"/>
  <c r="AD19" i="17"/>
  <c r="AD21" i="17"/>
  <c r="AD22" i="17"/>
  <c r="AD24" i="17"/>
  <c r="AD25" i="17"/>
  <c r="AD26" i="17"/>
  <c r="AD28" i="17"/>
  <c r="AD29" i="17"/>
  <c r="AD31" i="17"/>
  <c r="AD32" i="17"/>
  <c r="AD33" i="17"/>
  <c r="AD35" i="17"/>
  <c r="AD36" i="17"/>
  <c r="AD38" i="17"/>
  <c r="AD39" i="17"/>
  <c r="AD40" i="17"/>
  <c r="AD42" i="17"/>
  <c r="AD43" i="17"/>
  <c r="AD45" i="17"/>
  <c r="AD46" i="17"/>
  <c r="AD47" i="17"/>
  <c r="AD49" i="17"/>
  <c r="AD50" i="17"/>
  <c r="AD52" i="17"/>
  <c r="AD53" i="17"/>
  <c r="AD54" i="17"/>
  <c r="AD56" i="17"/>
  <c r="AD57" i="17"/>
  <c r="AD59" i="17"/>
  <c r="AD60" i="17"/>
  <c r="AD61" i="17"/>
  <c r="AD63" i="17"/>
  <c r="AD64" i="17"/>
  <c r="AD66" i="17"/>
  <c r="AD67" i="17"/>
  <c r="AD68" i="17"/>
  <c r="AD70" i="17"/>
  <c r="AD71" i="17"/>
  <c r="AD73" i="17"/>
  <c r="AD75" i="17"/>
  <c r="AD9" i="17"/>
  <c r="AD6" i="17"/>
  <c r="AE7"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11" i="17" l="1"/>
  <c r="AE12" i="17"/>
  <c r="AE14" i="17"/>
  <c r="AE15" i="17"/>
  <c r="AE17" i="17"/>
  <c r="AE18" i="17"/>
  <c r="AE19" i="17"/>
  <c r="AE21" i="17"/>
  <c r="AE22" i="17"/>
  <c r="AE24" i="17"/>
  <c r="AE25" i="17"/>
  <c r="AE26" i="17"/>
  <c r="AE28" i="17"/>
  <c r="AE29" i="17"/>
  <c r="AE31" i="17"/>
  <c r="AE32" i="17"/>
  <c r="AE33" i="17"/>
  <c r="AE35" i="17"/>
  <c r="AE36" i="17"/>
  <c r="AE38" i="17"/>
  <c r="AE39" i="17"/>
  <c r="AE40" i="17"/>
  <c r="AE42" i="17"/>
  <c r="AE43" i="17"/>
  <c r="AE45" i="17"/>
  <c r="AE46" i="17"/>
  <c r="AE47" i="17"/>
  <c r="AE49" i="17"/>
  <c r="AE50" i="17"/>
  <c r="AE52" i="17"/>
  <c r="AE53" i="17"/>
  <c r="AE54" i="17"/>
  <c r="AE56" i="17"/>
  <c r="AE57" i="17"/>
  <c r="AE59" i="17"/>
  <c r="AE60" i="17"/>
  <c r="AE61" i="17"/>
  <c r="AE63" i="17"/>
  <c r="AE64" i="17"/>
  <c r="AE66" i="17"/>
  <c r="AE67" i="17"/>
  <c r="AE68" i="17"/>
  <c r="AE70" i="17"/>
  <c r="AE71" i="17"/>
  <c r="AE73" i="17"/>
  <c r="AE75" i="17"/>
  <c r="AE9" i="17"/>
  <c r="AF7"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11" i="17" l="1"/>
  <c r="AF12" i="17"/>
  <c r="AF14" i="17"/>
  <c r="AF15" i="17"/>
  <c r="AF17" i="17"/>
  <c r="AF18" i="17"/>
  <c r="AF19" i="17"/>
  <c r="AF21" i="17"/>
  <c r="AF22" i="17"/>
  <c r="AF24" i="17"/>
  <c r="AF25" i="17"/>
  <c r="AF26" i="17"/>
  <c r="AF28" i="17"/>
  <c r="AF29" i="17"/>
  <c r="AF31" i="17"/>
  <c r="AF32" i="17"/>
  <c r="AF33" i="17"/>
  <c r="AF35" i="17"/>
  <c r="AF36" i="17"/>
  <c r="AF38" i="17"/>
  <c r="AF39" i="17"/>
  <c r="AF40" i="17"/>
  <c r="AF42" i="17"/>
  <c r="AF43" i="17"/>
  <c r="AF45" i="17"/>
  <c r="AF46" i="17"/>
  <c r="AF47" i="17"/>
  <c r="AF49" i="17"/>
  <c r="AF50" i="17"/>
  <c r="AF52" i="17"/>
  <c r="AF53" i="17"/>
  <c r="AF54" i="17"/>
  <c r="AF56" i="17"/>
  <c r="AF57" i="17"/>
  <c r="AF59" i="17"/>
  <c r="AF60" i="17"/>
  <c r="AF61" i="17"/>
  <c r="AF63" i="17"/>
  <c r="AF64" i="17"/>
  <c r="AF66" i="17"/>
  <c r="AF67" i="17"/>
  <c r="AF68" i="17"/>
  <c r="AF70" i="17"/>
  <c r="AF71" i="17"/>
  <c r="AF73" i="17"/>
  <c r="AF75" i="17"/>
  <c r="AG7" i="17"/>
  <c r="AF9"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11" i="17" l="1"/>
  <c r="AG12" i="17"/>
  <c r="AG14" i="17"/>
  <c r="AG15" i="17"/>
  <c r="AG17" i="17"/>
  <c r="AG18" i="17"/>
  <c r="AG19" i="17"/>
  <c r="AG21" i="17"/>
  <c r="AG22" i="17"/>
  <c r="AG24" i="17"/>
  <c r="AG25" i="17"/>
  <c r="AG26" i="17"/>
  <c r="AG28" i="17"/>
  <c r="AG29" i="17"/>
  <c r="AG31" i="17"/>
  <c r="AG32" i="17"/>
  <c r="AG33" i="17"/>
  <c r="AG35" i="17"/>
  <c r="AG36" i="17"/>
  <c r="AG38" i="17"/>
  <c r="AG39" i="17"/>
  <c r="AG40" i="17"/>
  <c r="AG42" i="17"/>
  <c r="AG43" i="17"/>
  <c r="AG45" i="17"/>
  <c r="AG46" i="17"/>
  <c r="AG47" i="17"/>
  <c r="AG49" i="17"/>
  <c r="AG50" i="17"/>
  <c r="AG52" i="17"/>
  <c r="AG53" i="17"/>
  <c r="AG54" i="17"/>
  <c r="AG56" i="17"/>
  <c r="AG57" i="17"/>
  <c r="AG59" i="17"/>
  <c r="AG60" i="17"/>
  <c r="AG61" i="17"/>
  <c r="AG63" i="17"/>
  <c r="AG64" i="17"/>
  <c r="AG66" i="17"/>
  <c r="AG67" i="17"/>
  <c r="AG68" i="17"/>
  <c r="AG70" i="17"/>
  <c r="AG71" i="17"/>
  <c r="AG73" i="17"/>
  <c r="AG75" i="17"/>
  <c r="AH7" i="17"/>
  <c r="AG9"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11" i="17" l="1"/>
  <c r="AH12" i="17"/>
  <c r="AH14" i="17"/>
  <c r="AH15" i="17"/>
  <c r="AH17" i="17"/>
  <c r="AH18" i="17"/>
  <c r="AH19" i="17"/>
  <c r="AH21" i="17"/>
  <c r="AH22" i="17"/>
  <c r="AH24" i="17"/>
  <c r="AH25" i="17"/>
  <c r="AH26" i="17"/>
  <c r="AH28" i="17"/>
  <c r="AH29" i="17"/>
  <c r="AH31" i="17"/>
  <c r="AH32" i="17"/>
  <c r="AH33" i="17"/>
  <c r="AH35" i="17"/>
  <c r="AH36" i="17"/>
  <c r="AH38" i="17"/>
  <c r="AH39" i="17"/>
  <c r="AH40" i="17"/>
  <c r="AH42" i="17"/>
  <c r="AH43" i="17"/>
  <c r="AH45" i="17"/>
  <c r="AH46" i="17"/>
  <c r="AH47" i="17"/>
  <c r="AH49" i="17"/>
  <c r="AH50" i="17"/>
  <c r="AH52" i="17"/>
  <c r="AH53" i="17"/>
  <c r="AH54" i="17"/>
  <c r="AH56" i="17"/>
  <c r="AH57" i="17"/>
  <c r="AH59" i="17"/>
  <c r="AH60" i="17"/>
  <c r="AH61" i="17"/>
  <c r="AH63" i="17"/>
  <c r="AH64" i="17"/>
  <c r="AH66" i="17"/>
  <c r="AH67" i="17"/>
  <c r="AH68" i="17"/>
  <c r="AH70" i="17"/>
  <c r="AH71" i="17"/>
  <c r="AH73" i="17"/>
  <c r="AH75" i="17"/>
  <c r="AI7" i="17"/>
  <c r="AH9"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11" i="17" l="1"/>
  <c r="AI12" i="17"/>
  <c r="AI14" i="17"/>
  <c r="AI15" i="17"/>
  <c r="AI17" i="17"/>
  <c r="AI18" i="17"/>
  <c r="AI19" i="17"/>
  <c r="AI21" i="17"/>
  <c r="AI22" i="17"/>
  <c r="AI24" i="17"/>
  <c r="AI25" i="17"/>
  <c r="AI26" i="17"/>
  <c r="AI28" i="17"/>
  <c r="AI29" i="17"/>
  <c r="AI31" i="17"/>
  <c r="AI32" i="17"/>
  <c r="AI33" i="17"/>
  <c r="AI35" i="17"/>
  <c r="AI36" i="17"/>
  <c r="AI38" i="17"/>
  <c r="AI39" i="17"/>
  <c r="AI40" i="17"/>
  <c r="AI42" i="17"/>
  <c r="AI43" i="17"/>
  <c r="AI45" i="17"/>
  <c r="AI46" i="17"/>
  <c r="AI47" i="17"/>
  <c r="AI49" i="17"/>
  <c r="AI50" i="17"/>
  <c r="AI52" i="17"/>
  <c r="AI53" i="17"/>
  <c r="AI54" i="17"/>
  <c r="AI56" i="17"/>
  <c r="AI57" i="17"/>
  <c r="AI59" i="17"/>
  <c r="AI60" i="17"/>
  <c r="AI61" i="17"/>
  <c r="AI63" i="17"/>
  <c r="AI64" i="17"/>
  <c r="AI66" i="17"/>
  <c r="AI67" i="17"/>
  <c r="AI68" i="17"/>
  <c r="AI70" i="17"/>
  <c r="AI71" i="17"/>
  <c r="AI73" i="17"/>
  <c r="AI75" i="17"/>
  <c r="AJ7" i="17"/>
  <c r="AI9"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11" i="17" l="1"/>
  <c r="AJ12" i="17"/>
  <c r="AJ14" i="17"/>
  <c r="AJ15" i="17"/>
  <c r="AJ17" i="17"/>
  <c r="AJ18" i="17"/>
  <c r="AJ19" i="17"/>
  <c r="AJ21" i="17"/>
  <c r="AJ22" i="17"/>
  <c r="AJ24" i="17"/>
  <c r="AJ25" i="17"/>
  <c r="AJ26" i="17"/>
  <c r="AJ28" i="17"/>
  <c r="AJ29" i="17"/>
  <c r="AJ31" i="17"/>
  <c r="AJ32" i="17"/>
  <c r="AJ33" i="17"/>
  <c r="AJ35" i="17"/>
  <c r="AJ36" i="17"/>
  <c r="AJ38" i="17"/>
  <c r="AJ39" i="17"/>
  <c r="AJ40" i="17"/>
  <c r="AJ42" i="17"/>
  <c r="AJ43" i="17"/>
  <c r="AJ45" i="17"/>
  <c r="AJ46" i="17"/>
  <c r="AJ47" i="17"/>
  <c r="AJ49" i="17"/>
  <c r="AJ50" i="17"/>
  <c r="AJ52" i="17"/>
  <c r="AJ53" i="17"/>
  <c r="AJ54" i="17"/>
  <c r="AJ56" i="17"/>
  <c r="AJ57" i="17"/>
  <c r="AJ59" i="17"/>
  <c r="AJ60" i="17"/>
  <c r="AJ61" i="17"/>
  <c r="AJ63" i="17"/>
  <c r="AJ64" i="17"/>
  <c r="AJ66" i="17"/>
  <c r="AJ67" i="17"/>
  <c r="AJ68" i="17"/>
  <c r="AJ70" i="17"/>
  <c r="AJ71" i="17"/>
  <c r="AJ73" i="17"/>
  <c r="AJ75" i="17"/>
  <c r="AJ9" i="17"/>
  <c r="AK7"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11" i="17" l="1"/>
  <c r="AK12" i="17"/>
  <c r="AK14" i="17"/>
  <c r="AK15" i="17"/>
  <c r="AK17" i="17"/>
  <c r="AK18" i="17"/>
  <c r="AK19" i="17"/>
  <c r="AK21" i="17"/>
  <c r="AK22" i="17"/>
  <c r="AK24" i="17"/>
  <c r="AK25" i="17"/>
  <c r="AK26" i="17"/>
  <c r="AK28" i="17"/>
  <c r="AK29" i="17"/>
  <c r="AK31" i="17"/>
  <c r="AK32" i="17"/>
  <c r="AK33" i="17"/>
  <c r="AK35" i="17"/>
  <c r="AK36" i="17"/>
  <c r="AK38" i="17"/>
  <c r="AK39" i="17"/>
  <c r="AK40" i="17"/>
  <c r="AK42" i="17"/>
  <c r="AK43" i="17"/>
  <c r="AK45" i="17"/>
  <c r="AK46" i="17"/>
  <c r="AK47" i="17"/>
  <c r="AK49" i="17"/>
  <c r="AK50" i="17"/>
  <c r="AK52" i="17"/>
  <c r="AK53" i="17"/>
  <c r="AK54" i="17"/>
  <c r="AK56" i="17"/>
  <c r="AK57" i="17"/>
  <c r="AK59" i="17"/>
  <c r="AK60" i="17"/>
  <c r="AK61" i="17"/>
  <c r="AK63" i="17"/>
  <c r="AK64" i="17"/>
  <c r="AK66" i="17"/>
  <c r="AK67" i="17"/>
  <c r="AK68" i="17"/>
  <c r="AK70" i="17"/>
  <c r="AK71" i="17"/>
  <c r="AK73" i="17"/>
  <c r="AK75" i="17"/>
  <c r="AK9" i="17"/>
  <c r="AL7" i="17"/>
  <c r="AK6" i="17"/>
  <c r="AJ34" i="18"/>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11" i="17" l="1"/>
  <c r="AL12" i="17"/>
  <c r="AL14" i="17"/>
  <c r="AL15" i="17"/>
  <c r="AL17" i="17"/>
  <c r="AL18" i="17"/>
  <c r="AL19" i="17"/>
  <c r="AL21" i="17"/>
  <c r="AL22" i="17"/>
  <c r="AL24" i="17"/>
  <c r="AL25" i="17"/>
  <c r="AL26" i="17"/>
  <c r="AL28" i="17"/>
  <c r="AL29" i="17"/>
  <c r="AL31" i="17"/>
  <c r="AL32" i="17"/>
  <c r="AL33" i="17"/>
  <c r="AL35" i="17"/>
  <c r="AL36" i="17"/>
  <c r="AL38" i="17"/>
  <c r="AL39" i="17"/>
  <c r="AL40" i="17"/>
  <c r="AL42" i="17"/>
  <c r="AL43" i="17"/>
  <c r="AL45" i="17"/>
  <c r="AL46" i="17"/>
  <c r="AL47" i="17"/>
  <c r="AL49" i="17"/>
  <c r="AL50" i="17"/>
  <c r="AL52" i="17"/>
  <c r="AL53" i="17"/>
  <c r="AL54" i="17"/>
  <c r="AL56" i="17"/>
  <c r="AL57" i="17"/>
  <c r="AL59" i="17"/>
  <c r="AL60" i="17"/>
  <c r="AL61" i="17"/>
  <c r="AL63" i="17"/>
  <c r="AL64" i="17"/>
  <c r="AL66" i="17"/>
  <c r="AL67" i="17"/>
  <c r="AL68" i="17"/>
  <c r="AL70" i="17"/>
  <c r="AL71" i="17"/>
  <c r="AL73" i="17"/>
  <c r="AL75" i="17"/>
  <c r="AM7" i="17"/>
  <c r="AL9" i="17"/>
  <c r="AK29" i="18"/>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11" i="17" l="1"/>
  <c r="AM12" i="17"/>
  <c r="AM14" i="17"/>
  <c r="AM15" i="17"/>
  <c r="AM17" i="17"/>
  <c r="AM18" i="17"/>
  <c r="AM19" i="17"/>
  <c r="AM21" i="17"/>
  <c r="AM22" i="17"/>
  <c r="AM24" i="17"/>
  <c r="AM25" i="17"/>
  <c r="AM26" i="17"/>
  <c r="AM28" i="17"/>
  <c r="AM29" i="17"/>
  <c r="AM31" i="17"/>
  <c r="AM32" i="17"/>
  <c r="AM33" i="17"/>
  <c r="AM35" i="17"/>
  <c r="AM36" i="17"/>
  <c r="AM38" i="17"/>
  <c r="AM39" i="17"/>
  <c r="AM40" i="17"/>
  <c r="AM42" i="17"/>
  <c r="AM43" i="17"/>
  <c r="AM45" i="17"/>
  <c r="AM46" i="17"/>
  <c r="AM47" i="17"/>
  <c r="AM49" i="17"/>
  <c r="AM50" i="17"/>
  <c r="AM52" i="17"/>
  <c r="AM53" i="17"/>
  <c r="AM54" i="17"/>
  <c r="AM56" i="17"/>
  <c r="AM57" i="17"/>
  <c r="AM59" i="17"/>
  <c r="AM60" i="17"/>
  <c r="AM61" i="17"/>
  <c r="AM63" i="17"/>
  <c r="AM64" i="17"/>
  <c r="AM66" i="17"/>
  <c r="AM67" i="17"/>
  <c r="AM68" i="17"/>
  <c r="AM70" i="17"/>
  <c r="AM71" i="17"/>
  <c r="AM73" i="17"/>
  <c r="AM75" i="17"/>
  <c r="AM9" i="17"/>
  <c r="AN7" i="17"/>
  <c r="AL35" i="18"/>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N11" i="17" l="1"/>
  <c r="AN12" i="17"/>
  <c r="AN14" i="17"/>
  <c r="AN15" i="17"/>
  <c r="AN17" i="17"/>
  <c r="AN18" i="17"/>
  <c r="AN19" i="17"/>
  <c r="AN21" i="17"/>
  <c r="AN22" i="17"/>
  <c r="AN24" i="17"/>
  <c r="AN25" i="17"/>
  <c r="AN26" i="17"/>
  <c r="AN28" i="17"/>
  <c r="AN29" i="17"/>
  <c r="AN31" i="17"/>
  <c r="AN32" i="17"/>
  <c r="AN33" i="17"/>
  <c r="AN35" i="17"/>
  <c r="AN36" i="17"/>
  <c r="AN38" i="17"/>
  <c r="AN39" i="17"/>
  <c r="AN40" i="17"/>
  <c r="AN42" i="17"/>
  <c r="AN43" i="17"/>
  <c r="AN45" i="17"/>
  <c r="AN46" i="17"/>
  <c r="AN47" i="17"/>
  <c r="AN49" i="17"/>
  <c r="AN50" i="17"/>
  <c r="AN52" i="17"/>
  <c r="AN53" i="17"/>
  <c r="AN54" i="17"/>
  <c r="AN56" i="17"/>
  <c r="AN57" i="17"/>
  <c r="AN59" i="17"/>
  <c r="AN60" i="17"/>
  <c r="AN61" i="17"/>
  <c r="AN63" i="17"/>
  <c r="AN64" i="17"/>
  <c r="AN66" i="17"/>
  <c r="AN67" i="17"/>
  <c r="AN68" i="17"/>
  <c r="AN70" i="17"/>
  <c r="AN71" i="17"/>
  <c r="AN73" i="17"/>
  <c r="AN75" i="17"/>
  <c r="AO7" i="17"/>
  <c r="AN9" i="17"/>
  <c r="AM21" i="18"/>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O11" i="17" l="1"/>
  <c r="AO12" i="17"/>
  <c r="AO14" i="17"/>
  <c r="AO15" i="17"/>
  <c r="AO17" i="17"/>
  <c r="AO18" i="17"/>
  <c r="AO19" i="17"/>
  <c r="AO21" i="17"/>
  <c r="AO22" i="17"/>
  <c r="AO24" i="17"/>
  <c r="AO25" i="17"/>
  <c r="AO26" i="17"/>
  <c r="AO28" i="17"/>
  <c r="AO29" i="17"/>
  <c r="AO31" i="17"/>
  <c r="AO32" i="17"/>
  <c r="AO33" i="17"/>
  <c r="AO35" i="17"/>
  <c r="AO36" i="17"/>
  <c r="AO38" i="17"/>
  <c r="AO39" i="17"/>
  <c r="AO40" i="17"/>
  <c r="AO42" i="17"/>
  <c r="AO43" i="17"/>
  <c r="AO45" i="17"/>
  <c r="AO46" i="17"/>
  <c r="AO47" i="17"/>
  <c r="AO49" i="17"/>
  <c r="AO50" i="17"/>
  <c r="AO52" i="17"/>
  <c r="AO53" i="17"/>
  <c r="AO54" i="17"/>
  <c r="AO56" i="17"/>
  <c r="AO57" i="17"/>
  <c r="AO59" i="17"/>
  <c r="AO60" i="17"/>
  <c r="AO61" i="17"/>
  <c r="AO63" i="17"/>
  <c r="AO64" i="17"/>
  <c r="AO66" i="17"/>
  <c r="AO67" i="17"/>
  <c r="AO68" i="17"/>
  <c r="AO70" i="17"/>
  <c r="AO71" i="17"/>
  <c r="AO73" i="17"/>
  <c r="AO75" i="17"/>
  <c r="AP7" i="17"/>
  <c r="AO9" i="17"/>
  <c r="AN15" i="18"/>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P11" i="17" l="1"/>
  <c r="AP12" i="17"/>
  <c r="AP14" i="17"/>
  <c r="AP15" i="17"/>
  <c r="AP17" i="17"/>
  <c r="AP18" i="17"/>
  <c r="AP19" i="17"/>
  <c r="AP21" i="17"/>
  <c r="AP22" i="17"/>
  <c r="AP24" i="17"/>
  <c r="AP25" i="17"/>
  <c r="AP26" i="17"/>
  <c r="AP28" i="17"/>
  <c r="AP29" i="17"/>
  <c r="AP31" i="17"/>
  <c r="AP32" i="17"/>
  <c r="AP33" i="17"/>
  <c r="AP35" i="17"/>
  <c r="AP36" i="17"/>
  <c r="AP38" i="17"/>
  <c r="AP39" i="17"/>
  <c r="AP40" i="17"/>
  <c r="AP42" i="17"/>
  <c r="AP43" i="17"/>
  <c r="AP45" i="17"/>
  <c r="AP46" i="17"/>
  <c r="AP47" i="17"/>
  <c r="AP49" i="17"/>
  <c r="AP50" i="17"/>
  <c r="AP52" i="17"/>
  <c r="AP53" i="17"/>
  <c r="AP54" i="17"/>
  <c r="AP56" i="17"/>
  <c r="AP57" i="17"/>
  <c r="AP59" i="17"/>
  <c r="AP60" i="17"/>
  <c r="AP61" i="17"/>
  <c r="AP63" i="17"/>
  <c r="AP64" i="17"/>
  <c r="AP66" i="17"/>
  <c r="AP67" i="17"/>
  <c r="AP68" i="17"/>
  <c r="AP70" i="17"/>
  <c r="AP71" i="17"/>
  <c r="AP73" i="17"/>
  <c r="AP75" i="17"/>
  <c r="AP9" i="17"/>
  <c r="AQ7" i="17"/>
  <c r="AO16" i="18"/>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11" i="17" l="1"/>
  <c r="AQ12" i="17"/>
  <c r="AQ14" i="17"/>
  <c r="AQ15" i="17"/>
  <c r="AQ17" i="17"/>
  <c r="AQ18" i="17"/>
  <c r="AQ19" i="17"/>
  <c r="AQ21" i="17"/>
  <c r="AQ22" i="17"/>
  <c r="AQ24" i="17"/>
  <c r="AQ25" i="17"/>
  <c r="AQ26" i="17"/>
  <c r="AQ28" i="17"/>
  <c r="AQ29" i="17"/>
  <c r="AQ31" i="17"/>
  <c r="AQ32" i="17"/>
  <c r="AQ33" i="17"/>
  <c r="AQ35" i="17"/>
  <c r="AQ36" i="17"/>
  <c r="AQ38" i="17"/>
  <c r="AQ39" i="17"/>
  <c r="AQ40" i="17"/>
  <c r="AQ42" i="17"/>
  <c r="AQ43" i="17"/>
  <c r="AQ45" i="17"/>
  <c r="AQ46" i="17"/>
  <c r="AQ47" i="17"/>
  <c r="AQ49" i="17"/>
  <c r="AQ50" i="17"/>
  <c r="AQ52" i="17"/>
  <c r="AQ53" i="17"/>
  <c r="AQ54" i="17"/>
  <c r="AQ56" i="17"/>
  <c r="AQ57" i="17"/>
  <c r="AQ59" i="17"/>
  <c r="AQ60" i="17"/>
  <c r="AQ61" i="17"/>
  <c r="AQ63" i="17"/>
  <c r="AQ64" i="17"/>
  <c r="AQ66" i="17"/>
  <c r="AQ67" i="17"/>
  <c r="AQ68" i="17"/>
  <c r="AQ70" i="17"/>
  <c r="AQ71" i="17"/>
  <c r="AQ73" i="17"/>
  <c r="AQ75" i="17"/>
  <c r="AQ9" i="17"/>
  <c r="AR7" i="17"/>
  <c r="AQ7" i="18"/>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R11" i="17" l="1"/>
  <c r="AR12" i="17"/>
  <c r="AR14" i="17"/>
  <c r="AR15" i="17"/>
  <c r="AR17" i="17"/>
  <c r="AR18" i="17"/>
  <c r="AR19" i="17"/>
  <c r="AR21" i="17"/>
  <c r="AR22" i="17"/>
  <c r="AR24" i="17"/>
  <c r="AR25" i="17"/>
  <c r="AR26" i="17"/>
  <c r="AR28" i="17"/>
  <c r="AR29" i="17"/>
  <c r="AR31" i="17"/>
  <c r="AR32" i="17"/>
  <c r="AR33" i="17"/>
  <c r="AR35" i="17"/>
  <c r="AR36" i="17"/>
  <c r="AR38" i="17"/>
  <c r="AR39" i="17"/>
  <c r="AR40" i="17"/>
  <c r="AR42" i="17"/>
  <c r="AR43" i="17"/>
  <c r="AR45" i="17"/>
  <c r="AR46" i="17"/>
  <c r="AR47" i="17"/>
  <c r="AR49" i="17"/>
  <c r="AR50" i="17"/>
  <c r="AR52" i="17"/>
  <c r="AR53" i="17"/>
  <c r="AR54" i="17"/>
  <c r="AR56" i="17"/>
  <c r="AR57" i="17"/>
  <c r="AR59" i="17"/>
  <c r="AR60" i="17"/>
  <c r="AR61" i="17"/>
  <c r="AR63" i="17"/>
  <c r="AR64" i="17"/>
  <c r="AR66" i="17"/>
  <c r="AR67" i="17"/>
  <c r="AR68" i="17"/>
  <c r="AR70" i="17"/>
  <c r="AR71" i="17"/>
  <c r="AR73" i="17"/>
  <c r="AR75" i="17"/>
  <c r="AR6" i="17"/>
  <c r="AR9" i="17"/>
  <c r="AS7" i="17"/>
  <c r="AQ17" i="18"/>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S11" i="17" l="1"/>
  <c r="AS12" i="17"/>
  <c r="AS14" i="17"/>
  <c r="AS15" i="17"/>
  <c r="AS17" i="17"/>
  <c r="AS18" i="17"/>
  <c r="AS19" i="17"/>
  <c r="AS21" i="17"/>
  <c r="AS22" i="17"/>
  <c r="AS24" i="17"/>
  <c r="AS25" i="17"/>
  <c r="AS26" i="17"/>
  <c r="AS28" i="17"/>
  <c r="AS29" i="17"/>
  <c r="AS31" i="17"/>
  <c r="AS32" i="17"/>
  <c r="AS33" i="17"/>
  <c r="AS35" i="17"/>
  <c r="AS36" i="17"/>
  <c r="AS38" i="17"/>
  <c r="AS39" i="17"/>
  <c r="AS40" i="17"/>
  <c r="AS42" i="17"/>
  <c r="AS43" i="17"/>
  <c r="AS45" i="17"/>
  <c r="AS46" i="17"/>
  <c r="AS47" i="17"/>
  <c r="AS49" i="17"/>
  <c r="AS50" i="17"/>
  <c r="AS52" i="17"/>
  <c r="AS53" i="17"/>
  <c r="AS54" i="17"/>
  <c r="AS56" i="17"/>
  <c r="AS57" i="17"/>
  <c r="AS59" i="17"/>
  <c r="AS60" i="17"/>
  <c r="AS61" i="17"/>
  <c r="AS63" i="17"/>
  <c r="AS64" i="17"/>
  <c r="AS66" i="17"/>
  <c r="AS67" i="17"/>
  <c r="AS68" i="17"/>
  <c r="AS70" i="17"/>
  <c r="AS71" i="17"/>
  <c r="AS73" i="17"/>
  <c r="AS75" i="17"/>
  <c r="AS9" i="17"/>
  <c r="AT7" i="17"/>
  <c r="AR6" i="18"/>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T11" i="17" l="1"/>
  <c r="AT12" i="17"/>
  <c r="AT14" i="17"/>
  <c r="AT15" i="17"/>
  <c r="AT17" i="17"/>
  <c r="AT18" i="17"/>
  <c r="AT19" i="17"/>
  <c r="AT21" i="17"/>
  <c r="AT22" i="17"/>
  <c r="AT24" i="17"/>
  <c r="AT25" i="17"/>
  <c r="AT26" i="17"/>
  <c r="AT28" i="17"/>
  <c r="AT29" i="17"/>
  <c r="AT31" i="17"/>
  <c r="AT32" i="17"/>
  <c r="AT33" i="17"/>
  <c r="AT35" i="17"/>
  <c r="AT36" i="17"/>
  <c r="AT38" i="17"/>
  <c r="AT39" i="17"/>
  <c r="AT40" i="17"/>
  <c r="AT42" i="17"/>
  <c r="AT43" i="17"/>
  <c r="AT45" i="17"/>
  <c r="AT46" i="17"/>
  <c r="AT47" i="17"/>
  <c r="AT49" i="17"/>
  <c r="AT50" i="17"/>
  <c r="AT52" i="17"/>
  <c r="AT53" i="17"/>
  <c r="AT54" i="17"/>
  <c r="AT56" i="17"/>
  <c r="AT57" i="17"/>
  <c r="AT59" i="17"/>
  <c r="AT60" i="17"/>
  <c r="AT61" i="17"/>
  <c r="AT63" i="17"/>
  <c r="AT64" i="17"/>
  <c r="AT66" i="17"/>
  <c r="AT67" i="17"/>
  <c r="AT68" i="17"/>
  <c r="AT70" i="17"/>
  <c r="AT71" i="17"/>
  <c r="AT73" i="17"/>
  <c r="AT75" i="17"/>
  <c r="AU7" i="17"/>
  <c r="AT9" i="17"/>
  <c r="AS17" i="18"/>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U11" i="17" l="1"/>
  <c r="AU12" i="17"/>
  <c r="AU14" i="17"/>
  <c r="AU15" i="17"/>
  <c r="AU17" i="17"/>
  <c r="AU18" i="17"/>
  <c r="AU19" i="17"/>
  <c r="AU21" i="17"/>
  <c r="AU22" i="17"/>
  <c r="AU24" i="17"/>
  <c r="AU25" i="17"/>
  <c r="AU26" i="17"/>
  <c r="AU28" i="17"/>
  <c r="AU29" i="17"/>
  <c r="AU31" i="17"/>
  <c r="AU32" i="17"/>
  <c r="AU33" i="17"/>
  <c r="AU35" i="17"/>
  <c r="AU36" i="17"/>
  <c r="AU38" i="17"/>
  <c r="AU39" i="17"/>
  <c r="AU40" i="17"/>
  <c r="AU42" i="17"/>
  <c r="AU43" i="17"/>
  <c r="AU45" i="17"/>
  <c r="AU46" i="17"/>
  <c r="AU47" i="17"/>
  <c r="AU49" i="17"/>
  <c r="AU50" i="17"/>
  <c r="AU52" i="17"/>
  <c r="AU53" i="17"/>
  <c r="AU54" i="17"/>
  <c r="AU56" i="17"/>
  <c r="AU57" i="17"/>
  <c r="AU59" i="17"/>
  <c r="AU60" i="17"/>
  <c r="AU61" i="17"/>
  <c r="AU63" i="17"/>
  <c r="AU64" i="17"/>
  <c r="AU66" i="17"/>
  <c r="AU67" i="17"/>
  <c r="AU68" i="17"/>
  <c r="AU70" i="17"/>
  <c r="AU71" i="17"/>
  <c r="AU73" i="17"/>
  <c r="AU75" i="17"/>
  <c r="AU9" i="17"/>
  <c r="AV7" i="17"/>
  <c r="AT15" i="18"/>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V11" i="17" l="1"/>
  <c r="AV12" i="17"/>
  <c r="AV14" i="17"/>
  <c r="AV15" i="17"/>
  <c r="AV17" i="17"/>
  <c r="AV18" i="17"/>
  <c r="AV19" i="17"/>
  <c r="AV21" i="17"/>
  <c r="AV22" i="17"/>
  <c r="AV24" i="17"/>
  <c r="AV25" i="17"/>
  <c r="AV26" i="17"/>
  <c r="AV28" i="17"/>
  <c r="AV29" i="17"/>
  <c r="AV31" i="17"/>
  <c r="AV32" i="17"/>
  <c r="AV33" i="17"/>
  <c r="AV35" i="17"/>
  <c r="AV36" i="17"/>
  <c r="AV38" i="17"/>
  <c r="AV39" i="17"/>
  <c r="AV40" i="17"/>
  <c r="AV42" i="17"/>
  <c r="AV43" i="17"/>
  <c r="AV45" i="17"/>
  <c r="AV46" i="17"/>
  <c r="AV47" i="17"/>
  <c r="AV49" i="17"/>
  <c r="AV50" i="17"/>
  <c r="AV52" i="17"/>
  <c r="AV53" i="17"/>
  <c r="AV54" i="17"/>
  <c r="AV56" i="17"/>
  <c r="AV57" i="17"/>
  <c r="AV59" i="17"/>
  <c r="AV60" i="17"/>
  <c r="AV61" i="17"/>
  <c r="AV63" i="17"/>
  <c r="AV64" i="17"/>
  <c r="AV66" i="17"/>
  <c r="AV67" i="17"/>
  <c r="AV68" i="17"/>
  <c r="AV70" i="17"/>
  <c r="AV71" i="17"/>
  <c r="AV73" i="17"/>
  <c r="AV75" i="17"/>
  <c r="AW7" i="17"/>
  <c r="AV9" i="17"/>
  <c r="AU19" i="18"/>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W11" i="17" l="1"/>
  <c r="AW12" i="17"/>
  <c r="AW14" i="17"/>
  <c r="AW15" i="17"/>
  <c r="AW17" i="17"/>
  <c r="AW18" i="17"/>
  <c r="AW19" i="17"/>
  <c r="AW21" i="17"/>
  <c r="AW22" i="17"/>
  <c r="AW24" i="17"/>
  <c r="AW25" i="17"/>
  <c r="AW26" i="17"/>
  <c r="AW28" i="17"/>
  <c r="AW29" i="17"/>
  <c r="AW31" i="17"/>
  <c r="AW32" i="17"/>
  <c r="AW33" i="17"/>
  <c r="AW35" i="17"/>
  <c r="AW36" i="17"/>
  <c r="AW38" i="17"/>
  <c r="AW39" i="17"/>
  <c r="AW40" i="17"/>
  <c r="AW42" i="17"/>
  <c r="AW43" i="17"/>
  <c r="AW45" i="17"/>
  <c r="AW46" i="17"/>
  <c r="AW47" i="17"/>
  <c r="AW49" i="17"/>
  <c r="AW50" i="17"/>
  <c r="AW52" i="17"/>
  <c r="AW53" i="17"/>
  <c r="AW54" i="17"/>
  <c r="AW56" i="17"/>
  <c r="AW57" i="17"/>
  <c r="AW59" i="17"/>
  <c r="AW60" i="17"/>
  <c r="AW61" i="17"/>
  <c r="AW63" i="17"/>
  <c r="AW64" i="17"/>
  <c r="AW66" i="17"/>
  <c r="AW67" i="17"/>
  <c r="AW68" i="17"/>
  <c r="AW70" i="17"/>
  <c r="AW71" i="17"/>
  <c r="AW73" i="17"/>
  <c r="AW75" i="17"/>
  <c r="AX7" i="17"/>
  <c r="AW9" i="17"/>
  <c r="AV26" i="18"/>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X11" i="17" l="1"/>
  <c r="AX12" i="17"/>
  <c r="AX14" i="17"/>
  <c r="AX15" i="17"/>
  <c r="AX17" i="17"/>
  <c r="AX18" i="17"/>
  <c r="AX19" i="17"/>
  <c r="AX21" i="17"/>
  <c r="AX22" i="17"/>
  <c r="AX24" i="17"/>
  <c r="AX25" i="17"/>
  <c r="AX26" i="17"/>
  <c r="AX28" i="17"/>
  <c r="AX29" i="17"/>
  <c r="AX31" i="17"/>
  <c r="AX32" i="17"/>
  <c r="AX33" i="17"/>
  <c r="AX35" i="17"/>
  <c r="AX36" i="17"/>
  <c r="AX38" i="17"/>
  <c r="AX39" i="17"/>
  <c r="AX40" i="17"/>
  <c r="AX42" i="17"/>
  <c r="AX43" i="17"/>
  <c r="AX45" i="17"/>
  <c r="AX46" i="17"/>
  <c r="AX47" i="17"/>
  <c r="AX49" i="17"/>
  <c r="AX50" i="17"/>
  <c r="AX52" i="17"/>
  <c r="AX53" i="17"/>
  <c r="AX54" i="17"/>
  <c r="AX56" i="17"/>
  <c r="AX57" i="17"/>
  <c r="AX59" i="17"/>
  <c r="AX60" i="17"/>
  <c r="AX61" i="17"/>
  <c r="AX63" i="17"/>
  <c r="AX64" i="17"/>
  <c r="AX66" i="17"/>
  <c r="AX67" i="17"/>
  <c r="AX68" i="17"/>
  <c r="AX70" i="17"/>
  <c r="AX71" i="17"/>
  <c r="AX73" i="17"/>
  <c r="AX75" i="17"/>
  <c r="AX9" i="17"/>
  <c r="AY7" i="17"/>
  <c r="AW24" i="18"/>
  <c r="AW12" i="18"/>
  <c r="AW20" i="18"/>
  <c r="AW15" i="18"/>
  <c r="AW14" i="18"/>
  <c r="AW25" i="18"/>
  <c r="AW16" i="18"/>
  <c r="AW17" i="18"/>
  <c r="AW18" i="18"/>
  <c r="AW29" i="18"/>
  <c r="AW30" i="18"/>
  <c r="AW26" i="18"/>
  <c r="AW31" i="18"/>
  <c r="AW33" i="18"/>
  <c r="AW22" i="18"/>
  <c r="AX7" i="18"/>
  <c r="AX31" i="18" s="1"/>
  <c r="AW21" i="18"/>
  <c r="AW32" i="18"/>
  <c r="AW11" i="18"/>
  <c r="AW27" i="18"/>
  <c r="AW34" i="18"/>
  <c r="AW9" i="18"/>
  <c r="AW13" i="18"/>
  <c r="AW19" i="18"/>
  <c r="AW23" i="18"/>
  <c r="AW35" i="18"/>
  <c r="AY11" i="17" l="1"/>
  <c r="AY12" i="17"/>
  <c r="AY14" i="17"/>
  <c r="AY15" i="17"/>
  <c r="AY17" i="17"/>
  <c r="AY18" i="17"/>
  <c r="AY19" i="17"/>
  <c r="AY21" i="17"/>
  <c r="AY22" i="17"/>
  <c r="AY24" i="17"/>
  <c r="AY25" i="17"/>
  <c r="AY26" i="17"/>
  <c r="AY28" i="17"/>
  <c r="AY29" i="17"/>
  <c r="AY31" i="17"/>
  <c r="AY32" i="17"/>
  <c r="AY33" i="17"/>
  <c r="AY35" i="17"/>
  <c r="AY36" i="17"/>
  <c r="AY38" i="17"/>
  <c r="AY39" i="17"/>
  <c r="AY40" i="17"/>
  <c r="AY42" i="17"/>
  <c r="AY43" i="17"/>
  <c r="AY45" i="17"/>
  <c r="AY46" i="17"/>
  <c r="AY47" i="17"/>
  <c r="AY49" i="17"/>
  <c r="AY50" i="17"/>
  <c r="AY52" i="17"/>
  <c r="AY53" i="17"/>
  <c r="AY54" i="17"/>
  <c r="AY56" i="17"/>
  <c r="AY57" i="17"/>
  <c r="AY59" i="17"/>
  <c r="AY60" i="17"/>
  <c r="AY61" i="17"/>
  <c r="AY63" i="17"/>
  <c r="AY64" i="17"/>
  <c r="AY66" i="17"/>
  <c r="AY67" i="17"/>
  <c r="AY68" i="17"/>
  <c r="AY70" i="17"/>
  <c r="AY71" i="17"/>
  <c r="AY73" i="17"/>
  <c r="AY75" i="17"/>
  <c r="AY6" i="17"/>
  <c r="AY9" i="17"/>
  <c r="AZ7" i="17"/>
  <c r="AX30" i="18"/>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Z11" i="17" l="1"/>
  <c r="AZ12" i="17"/>
  <c r="AZ14" i="17"/>
  <c r="AZ15" i="17"/>
  <c r="AZ17" i="17"/>
  <c r="AZ18" i="17"/>
  <c r="AZ19" i="17"/>
  <c r="AZ21" i="17"/>
  <c r="AZ22" i="17"/>
  <c r="AZ24" i="17"/>
  <c r="AZ25" i="17"/>
  <c r="AZ26" i="17"/>
  <c r="AZ28" i="17"/>
  <c r="AZ29" i="17"/>
  <c r="AZ31" i="17"/>
  <c r="AZ32" i="17"/>
  <c r="AZ33" i="17"/>
  <c r="AZ35" i="17"/>
  <c r="AZ36" i="17"/>
  <c r="AZ38" i="17"/>
  <c r="AZ39" i="17"/>
  <c r="AZ40" i="17"/>
  <c r="AZ42" i="17"/>
  <c r="AZ43" i="17"/>
  <c r="AZ45" i="17"/>
  <c r="AZ46" i="17"/>
  <c r="AZ47" i="17"/>
  <c r="AZ49" i="17"/>
  <c r="AZ50" i="17"/>
  <c r="AZ52" i="17"/>
  <c r="AZ53" i="17"/>
  <c r="AZ54" i="17"/>
  <c r="AZ56" i="17"/>
  <c r="AZ57" i="17"/>
  <c r="AZ59" i="17"/>
  <c r="AZ60" i="17"/>
  <c r="AZ61" i="17"/>
  <c r="AZ63" i="17"/>
  <c r="AZ64" i="17"/>
  <c r="AZ66" i="17"/>
  <c r="AZ67" i="17"/>
  <c r="AZ68" i="17"/>
  <c r="AZ70" i="17"/>
  <c r="AZ71" i="17"/>
  <c r="AZ73" i="17"/>
  <c r="AZ75" i="17"/>
  <c r="AZ9" i="17"/>
  <c r="BA7" i="17"/>
  <c r="AY15" i="18"/>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BA11" i="17" l="1"/>
  <c r="BA12" i="17"/>
  <c r="BA14" i="17"/>
  <c r="BA15" i="17"/>
  <c r="BA17" i="17"/>
  <c r="BA18" i="17"/>
  <c r="BA19" i="17"/>
  <c r="BA21" i="17"/>
  <c r="BA22" i="17"/>
  <c r="BA24" i="17"/>
  <c r="BA25" i="17"/>
  <c r="BA26" i="17"/>
  <c r="BA28" i="17"/>
  <c r="BA29" i="17"/>
  <c r="BA31" i="17"/>
  <c r="BA32" i="17"/>
  <c r="BA33" i="17"/>
  <c r="BA35" i="17"/>
  <c r="BA36" i="17"/>
  <c r="BA38" i="17"/>
  <c r="BA39" i="17"/>
  <c r="BA40" i="17"/>
  <c r="BA42" i="17"/>
  <c r="BA43" i="17"/>
  <c r="BA45" i="17"/>
  <c r="BA46" i="17"/>
  <c r="BA47" i="17"/>
  <c r="BA49" i="17"/>
  <c r="BA50" i="17"/>
  <c r="BA52" i="17"/>
  <c r="BA53" i="17"/>
  <c r="BA54" i="17"/>
  <c r="BA56" i="17"/>
  <c r="BA57" i="17"/>
  <c r="BA59" i="17"/>
  <c r="BA60" i="17"/>
  <c r="BA61" i="17"/>
  <c r="BA63" i="17"/>
  <c r="BA64" i="17"/>
  <c r="BA66" i="17"/>
  <c r="BA67" i="17"/>
  <c r="BA68" i="17"/>
  <c r="BA70" i="17"/>
  <c r="BA71" i="17"/>
  <c r="BA73" i="17"/>
  <c r="BA75" i="17"/>
  <c r="BB7" i="17"/>
  <c r="BA9" i="17"/>
  <c r="AZ28" i="18"/>
  <c r="AZ22" i="18"/>
  <c r="AZ35" i="18"/>
  <c r="AZ21" i="18"/>
  <c r="AZ33" i="18"/>
  <c r="AZ13" i="18"/>
  <c r="BA7" i="18"/>
  <c r="BA32" i="18" s="1"/>
  <c r="AZ18" i="18"/>
  <c r="AZ14" i="18"/>
  <c r="AZ24" i="18"/>
  <c r="AZ26" i="18"/>
  <c r="AZ34" i="18"/>
  <c r="AZ12" i="18"/>
  <c r="AZ19" i="18"/>
  <c r="AZ23" i="18"/>
  <c r="AZ16" i="18"/>
  <c r="AZ15" i="18"/>
  <c r="AZ27" i="18"/>
  <c r="AZ9" i="18"/>
  <c r="AZ20" i="18"/>
  <c r="AZ30" i="18"/>
  <c r="AZ11" i="18"/>
  <c r="AZ29" i="18"/>
  <c r="AZ31" i="18"/>
  <c r="AZ17" i="18"/>
  <c r="AZ25" i="18"/>
  <c r="BB11" i="17" l="1"/>
  <c r="BB12" i="17"/>
  <c r="BB14" i="17"/>
  <c r="BB15" i="17"/>
  <c r="BB17" i="17"/>
  <c r="BB18" i="17"/>
  <c r="BB19" i="17"/>
  <c r="BB21" i="17"/>
  <c r="BB22" i="17"/>
  <c r="BB24" i="17"/>
  <c r="BB25" i="17"/>
  <c r="BB26" i="17"/>
  <c r="BB28" i="17"/>
  <c r="BB29" i="17"/>
  <c r="BB31" i="17"/>
  <c r="BB32" i="17"/>
  <c r="BB33" i="17"/>
  <c r="BB35" i="17"/>
  <c r="BB36" i="17"/>
  <c r="BB38" i="17"/>
  <c r="BB39" i="17"/>
  <c r="BB40" i="17"/>
  <c r="BB42" i="17"/>
  <c r="BB43" i="17"/>
  <c r="BB45" i="17"/>
  <c r="BB46" i="17"/>
  <c r="BB47" i="17"/>
  <c r="BB49" i="17"/>
  <c r="BB50" i="17"/>
  <c r="BB52" i="17"/>
  <c r="BB53" i="17"/>
  <c r="BB54" i="17"/>
  <c r="BB56" i="17"/>
  <c r="BB57" i="17"/>
  <c r="BB59" i="17"/>
  <c r="BB60" i="17"/>
  <c r="BB61" i="17"/>
  <c r="BB63" i="17"/>
  <c r="BB64" i="17"/>
  <c r="BB66" i="17"/>
  <c r="BB67" i="17"/>
  <c r="BB68" i="17"/>
  <c r="BB70" i="17"/>
  <c r="BB71" i="17"/>
  <c r="BB73" i="17"/>
  <c r="BB75" i="17"/>
  <c r="BB9" i="17"/>
  <c r="BC7" i="17"/>
  <c r="BA15" i="18"/>
  <c r="BA16" i="18"/>
  <c r="BA27" i="18"/>
  <c r="BA28" i="18"/>
  <c r="BA23" i="18"/>
  <c r="BA14" i="18"/>
  <c r="BA19" i="18"/>
  <c r="BA29" i="18"/>
  <c r="BA31" i="18"/>
  <c r="BA33" i="18"/>
  <c r="BA11" i="18"/>
  <c r="BA13" i="18"/>
  <c r="BA35" i="18"/>
  <c r="BA20" i="18"/>
  <c r="BA9" i="18"/>
  <c r="BA25" i="18"/>
  <c r="BA21" i="18"/>
  <c r="BA17" i="18"/>
  <c r="BA26" i="18"/>
  <c r="BA22" i="18"/>
  <c r="BA34" i="18"/>
  <c r="BB7" i="18"/>
  <c r="BB32" i="18" s="1"/>
  <c r="BA18" i="18"/>
  <c r="BA30" i="18"/>
  <c r="BA12" i="18"/>
  <c r="BA24" i="18"/>
  <c r="BC11" i="17" l="1"/>
  <c r="BC12" i="17"/>
  <c r="BC14" i="17"/>
  <c r="BC15" i="17"/>
  <c r="BC17" i="17"/>
  <c r="BC18" i="17"/>
  <c r="BC19" i="17"/>
  <c r="BC21" i="17"/>
  <c r="BC22" i="17"/>
  <c r="BC24" i="17"/>
  <c r="BC25" i="17"/>
  <c r="BC26" i="17"/>
  <c r="BC28" i="17"/>
  <c r="BC29" i="17"/>
  <c r="BC31" i="17"/>
  <c r="BC32" i="17"/>
  <c r="BC33" i="17"/>
  <c r="BC35" i="17"/>
  <c r="BC36" i="17"/>
  <c r="BC38" i="17"/>
  <c r="BC39" i="17"/>
  <c r="BC40" i="17"/>
  <c r="BC42" i="17"/>
  <c r="BC43" i="17"/>
  <c r="BC45" i="17"/>
  <c r="BC46" i="17"/>
  <c r="BC47" i="17"/>
  <c r="BC49" i="17"/>
  <c r="BC50" i="17"/>
  <c r="BC52" i="17"/>
  <c r="BC53" i="17"/>
  <c r="BC54" i="17"/>
  <c r="BC56" i="17"/>
  <c r="BC57" i="17"/>
  <c r="BC59" i="17"/>
  <c r="BC60" i="17"/>
  <c r="BC61" i="17"/>
  <c r="BC63" i="17"/>
  <c r="BC64" i="17"/>
  <c r="BC66" i="17"/>
  <c r="BC67" i="17"/>
  <c r="BC68" i="17"/>
  <c r="BC70" i="17"/>
  <c r="BC71" i="17"/>
  <c r="BC73" i="17"/>
  <c r="BC75" i="17"/>
  <c r="BC9" i="17"/>
  <c r="BD7" i="17"/>
  <c r="BB12" i="18"/>
  <c r="BB14" i="18"/>
  <c r="BB28" i="18"/>
  <c r="BB24" i="18"/>
  <c r="BB11" i="18"/>
  <c r="BC7" i="18"/>
  <c r="BC34" i="18" s="1"/>
  <c r="BB18" i="18"/>
  <c r="BB19" i="18"/>
  <c r="BB27" i="18"/>
  <c r="BB29" i="18"/>
  <c r="BB16" i="18"/>
  <c r="BB25" i="18"/>
  <c r="BB15" i="18"/>
  <c r="BB30" i="18"/>
  <c r="BB20" i="18"/>
  <c r="BB33" i="18"/>
  <c r="BB21" i="18"/>
  <c r="BB34" i="18"/>
  <c r="BB35" i="18"/>
  <c r="BB22" i="18"/>
  <c r="BB23" i="18"/>
  <c r="BB9" i="18"/>
  <c r="BB13" i="18"/>
  <c r="BB26" i="18"/>
  <c r="BB31" i="18"/>
  <c r="BB17" i="18"/>
  <c r="BD11" i="17" l="1"/>
  <c r="BD12" i="17"/>
  <c r="BD14" i="17"/>
  <c r="BD15" i="17"/>
  <c r="BD17" i="17"/>
  <c r="BD18" i="17"/>
  <c r="BD19" i="17"/>
  <c r="BD21" i="17"/>
  <c r="BD22" i="17"/>
  <c r="BD24" i="17"/>
  <c r="BD25" i="17"/>
  <c r="BD26" i="17"/>
  <c r="BD28" i="17"/>
  <c r="BD29" i="17"/>
  <c r="BD31" i="17"/>
  <c r="BD32" i="17"/>
  <c r="BD33" i="17"/>
  <c r="BD35" i="17"/>
  <c r="BD36" i="17"/>
  <c r="BD38" i="17"/>
  <c r="BD39" i="17"/>
  <c r="BD40" i="17"/>
  <c r="BD42" i="17"/>
  <c r="BD43" i="17"/>
  <c r="BD45" i="17"/>
  <c r="BD46" i="17"/>
  <c r="BD47" i="17"/>
  <c r="BD49" i="17"/>
  <c r="BD50" i="17"/>
  <c r="BD52" i="17"/>
  <c r="BD53" i="17"/>
  <c r="BD54" i="17"/>
  <c r="BD56" i="17"/>
  <c r="BD57" i="17"/>
  <c r="BD59" i="17"/>
  <c r="BD60" i="17"/>
  <c r="BD61" i="17"/>
  <c r="BD63" i="17"/>
  <c r="BD64" i="17"/>
  <c r="BD66" i="17"/>
  <c r="BD67" i="17"/>
  <c r="BD68" i="17"/>
  <c r="BD70" i="17"/>
  <c r="BD71" i="17"/>
  <c r="BD73" i="17"/>
  <c r="BD75" i="17"/>
  <c r="BD9" i="17"/>
  <c r="BE7" i="17"/>
  <c r="BC14" i="18"/>
  <c r="BC16" i="18"/>
  <c r="BC11" i="18"/>
  <c r="BC27" i="18"/>
  <c r="BC24" i="18"/>
  <c r="BC23" i="18"/>
  <c r="BC28" i="18"/>
  <c r="BC29" i="18"/>
  <c r="BC30" i="18"/>
  <c r="BC31" i="18"/>
  <c r="BC32" i="18"/>
  <c r="BD7" i="18"/>
  <c r="BD22" i="18" s="1"/>
  <c r="BC12" i="18"/>
  <c r="BC13" i="18"/>
  <c r="BC15" i="18"/>
  <c r="BC33" i="18"/>
  <c r="BC19" i="18"/>
  <c r="BC20" i="18"/>
  <c r="BC21" i="18"/>
  <c r="BC9" i="18"/>
  <c r="BC17" i="18"/>
  <c r="BC35" i="18"/>
  <c r="BC26" i="18"/>
  <c r="BC18" i="18"/>
  <c r="BC22" i="18"/>
  <c r="BC25" i="18"/>
  <c r="BE11" i="17" l="1"/>
  <c r="BE12" i="17"/>
  <c r="BE14" i="17"/>
  <c r="BE15" i="17"/>
  <c r="BE17" i="17"/>
  <c r="BE18" i="17"/>
  <c r="BE19" i="17"/>
  <c r="BE21" i="17"/>
  <c r="BE22" i="17"/>
  <c r="BE24" i="17"/>
  <c r="BE25" i="17"/>
  <c r="BE26" i="17"/>
  <c r="BE28" i="17"/>
  <c r="BE29" i="17"/>
  <c r="BE31" i="17"/>
  <c r="BE32" i="17"/>
  <c r="BE33" i="17"/>
  <c r="BE35" i="17"/>
  <c r="BE36" i="17"/>
  <c r="BE38" i="17"/>
  <c r="BE39" i="17"/>
  <c r="BE40" i="17"/>
  <c r="BE42" i="17"/>
  <c r="BE43" i="17"/>
  <c r="BE45" i="17"/>
  <c r="BE46" i="17"/>
  <c r="BE47" i="17"/>
  <c r="BE49" i="17"/>
  <c r="BE50" i="17"/>
  <c r="BE52" i="17"/>
  <c r="BE53" i="17"/>
  <c r="BE54" i="17"/>
  <c r="BE56" i="17"/>
  <c r="BE57" i="17"/>
  <c r="BE59" i="17"/>
  <c r="BE60" i="17"/>
  <c r="BE61" i="17"/>
  <c r="BE63" i="17"/>
  <c r="BE64" i="17"/>
  <c r="BE66" i="17"/>
  <c r="BE67" i="17"/>
  <c r="BE68" i="17"/>
  <c r="BE70" i="17"/>
  <c r="BE71" i="17"/>
  <c r="BE73" i="17"/>
  <c r="BE75" i="17"/>
  <c r="BF7" i="17"/>
  <c r="BE9" i="17"/>
  <c r="BD18" i="18"/>
  <c r="BE7" i="18"/>
  <c r="BE19" i="18" s="1"/>
  <c r="BD11" i="18"/>
  <c r="BD19" i="18"/>
  <c r="BD33" i="18"/>
  <c r="BD32" i="18"/>
  <c r="BD34" i="18"/>
  <c r="BD35" i="18"/>
  <c r="BD24" i="18"/>
  <c r="BD28" i="18"/>
  <c r="BD15" i="18"/>
  <c r="BD20" i="18"/>
  <c r="BD25" i="18"/>
  <c r="BD16" i="18"/>
  <c r="BD21" i="18"/>
  <c r="BD17" i="18"/>
  <c r="BD26" i="18"/>
  <c r="BD29" i="18"/>
  <c r="BD27" i="18"/>
  <c r="BD12" i="18"/>
  <c r="BD30" i="18"/>
  <c r="BD14" i="18"/>
  <c r="BD31" i="18"/>
  <c r="BD13" i="18"/>
  <c r="BD23" i="18"/>
  <c r="BD9" i="18"/>
  <c r="BF11" i="17" l="1"/>
  <c r="BF12" i="17"/>
  <c r="BF14" i="17"/>
  <c r="BF15" i="17"/>
  <c r="BF17" i="17"/>
  <c r="BF18" i="17"/>
  <c r="BF19" i="17"/>
  <c r="BF21" i="17"/>
  <c r="BF22" i="17"/>
  <c r="BF24" i="17"/>
  <c r="BF25" i="17"/>
  <c r="BF26" i="17"/>
  <c r="BF28" i="17"/>
  <c r="BF29" i="17"/>
  <c r="BF31" i="17"/>
  <c r="BF32" i="17"/>
  <c r="BF33" i="17"/>
  <c r="BF35" i="17"/>
  <c r="BF36" i="17"/>
  <c r="BF38" i="17"/>
  <c r="BF39" i="17"/>
  <c r="BF40" i="17"/>
  <c r="BF42" i="17"/>
  <c r="BF43" i="17"/>
  <c r="BF45" i="17"/>
  <c r="BF46" i="17"/>
  <c r="BF47" i="17"/>
  <c r="BF49" i="17"/>
  <c r="BF50" i="17"/>
  <c r="BF52" i="17"/>
  <c r="BF53" i="17"/>
  <c r="BF54" i="17"/>
  <c r="BF56" i="17"/>
  <c r="BF57" i="17"/>
  <c r="BF59" i="17"/>
  <c r="BF60" i="17"/>
  <c r="BF61" i="17"/>
  <c r="BF63" i="17"/>
  <c r="BF64" i="17"/>
  <c r="BF66" i="17"/>
  <c r="BF67" i="17"/>
  <c r="BF68" i="17"/>
  <c r="BF70" i="17"/>
  <c r="BF71" i="17"/>
  <c r="BF73" i="17"/>
  <c r="BF75" i="17"/>
  <c r="BF9" i="17"/>
  <c r="BG7" i="17"/>
  <c r="BF6" i="17"/>
  <c r="BE28" i="18"/>
  <c r="BE29" i="18"/>
  <c r="BE25" i="18"/>
  <c r="BE31" i="18"/>
  <c r="BE33" i="18"/>
  <c r="BF7" i="18"/>
  <c r="BF33" i="18" s="1"/>
  <c r="BE22" i="18"/>
  <c r="BE23" i="18"/>
  <c r="BE21" i="18"/>
  <c r="BE35" i="18"/>
  <c r="BE26" i="18"/>
  <c r="BE13" i="18"/>
  <c r="BE24" i="18"/>
  <c r="BE11" i="18"/>
  <c r="BE20" i="18"/>
  <c r="BE27" i="18"/>
  <c r="BE34" i="18"/>
  <c r="BE16" i="18"/>
  <c r="BE17" i="18"/>
  <c r="BE32" i="18"/>
  <c r="BE18" i="18"/>
  <c r="BE15" i="18"/>
  <c r="BE30" i="18"/>
  <c r="BE12" i="18"/>
  <c r="BE14" i="18"/>
  <c r="BE9" i="18"/>
  <c r="BG11" i="17" l="1"/>
  <c r="BG12" i="17"/>
  <c r="BG14" i="17"/>
  <c r="BG15" i="17"/>
  <c r="BG17" i="17"/>
  <c r="BG18" i="17"/>
  <c r="BG19" i="17"/>
  <c r="BG21" i="17"/>
  <c r="BG22" i="17"/>
  <c r="BG24" i="17"/>
  <c r="BG25" i="17"/>
  <c r="BG26" i="17"/>
  <c r="BG28" i="17"/>
  <c r="BG29" i="17"/>
  <c r="BG31" i="17"/>
  <c r="BG32" i="17"/>
  <c r="BG33" i="17"/>
  <c r="BG35" i="17"/>
  <c r="BG36" i="17"/>
  <c r="BG38" i="17"/>
  <c r="BG39" i="17"/>
  <c r="BG40" i="17"/>
  <c r="BG42" i="17"/>
  <c r="BG43" i="17"/>
  <c r="BG45" i="17"/>
  <c r="BG46" i="17"/>
  <c r="BG47" i="17"/>
  <c r="BG49" i="17"/>
  <c r="BG50" i="17"/>
  <c r="BG52" i="17"/>
  <c r="BG53" i="17"/>
  <c r="BG54" i="17"/>
  <c r="BG56" i="17"/>
  <c r="BG57" i="17"/>
  <c r="BG59" i="17"/>
  <c r="BG60" i="17"/>
  <c r="BG61" i="17"/>
  <c r="BG63" i="17"/>
  <c r="BG64" i="17"/>
  <c r="BG66" i="17"/>
  <c r="BG67" i="17"/>
  <c r="BG68" i="17"/>
  <c r="BG70" i="17"/>
  <c r="BG71" i="17"/>
  <c r="BG73" i="17"/>
  <c r="BG75" i="17"/>
  <c r="BH7" i="17"/>
  <c r="BG9" i="17"/>
  <c r="BF12" i="18"/>
  <c r="BG7" i="18"/>
  <c r="BG35" i="18" s="1"/>
  <c r="BF19" i="18"/>
  <c r="BF28" i="18"/>
  <c r="BF29" i="18"/>
  <c r="BF30" i="18"/>
  <c r="BF31" i="18"/>
  <c r="BF18" i="18"/>
  <c r="BF14" i="18"/>
  <c r="BF23" i="18"/>
  <c r="BF34" i="18"/>
  <c r="BF13" i="18"/>
  <c r="BF21" i="18"/>
  <c r="BF11" i="18"/>
  <c r="BF27" i="18"/>
  <c r="BF6" i="18"/>
  <c r="BF15" i="18"/>
  <c r="BF35" i="18"/>
  <c r="BF17" i="18"/>
  <c r="BF16" i="18"/>
  <c r="BF24" i="18"/>
  <c r="BF22" i="18"/>
  <c r="BF25" i="18"/>
  <c r="BF20" i="18"/>
  <c r="BF32" i="18"/>
  <c r="BF9" i="18"/>
  <c r="BF26" i="18"/>
  <c r="BH11" i="17" l="1"/>
  <c r="BH12" i="17"/>
  <c r="BH14" i="17"/>
  <c r="BH15" i="17"/>
  <c r="BH17" i="17"/>
  <c r="BH18" i="17"/>
  <c r="BH19" i="17"/>
  <c r="BH21" i="17"/>
  <c r="BH22" i="17"/>
  <c r="BH24" i="17"/>
  <c r="BH25" i="17"/>
  <c r="BH26" i="17"/>
  <c r="BH28" i="17"/>
  <c r="BH29" i="17"/>
  <c r="BH31" i="17"/>
  <c r="BH32" i="17"/>
  <c r="BH33" i="17"/>
  <c r="BH35" i="17"/>
  <c r="BH36" i="17"/>
  <c r="BH38" i="17"/>
  <c r="BH39" i="17"/>
  <c r="BH40" i="17"/>
  <c r="BH42" i="17"/>
  <c r="BH43" i="17"/>
  <c r="BH45" i="17"/>
  <c r="BH46" i="17"/>
  <c r="BH47" i="17"/>
  <c r="BH49" i="17"/>
  <c r="BH50" i="17"/>
  <c r="BH52" i="17"/>
  <c r="BH53" i="17"/>
  <c r="BH54" i="17"/>
  <c r="BH56" i="17"/>
  <c r="BH57" i="17"/>
  <c r="BH59" i="17"/>
  <c r="BH60" i="17"/>
  <c r="BH61" i="17"/>
  <c r="BH63" i="17"/>
  <c r="BH64" i="17"/>
  <c r="BH66" i="17"/>
  <c r="BH67" i="17"/>
  <c r="BH68" i="17"/>
  <c r="BH70" i="17"/>
  <c r="BH71" i="17"/>
  <c r="BH73" i="17"/>
  <c r="BH75" i="17"/>
  <c r="BH9" i="17"/>
  <c r="BI7" i="17"/>
  <c r="BG32" i="18"/>
  <c r="BG14" i="18"/>
  <c r="BG12" i="18"/>
  <c r="BG18" i="18"/>
  <c r="BG22" i="18"/>
  <c r="BG23" i="18"/>
  <c r="BG28" i="18"/>
  <c r="BG11" i="18"/>
  <c r="BG29" i="18"/>
  <c r="BG9" i="18"/>
  <c r="BG27" i="18"/>
  <c r="BG24" i="18"/>
  <c r="BG13" i="18"/>
  <c r="BG30" i="18"/>
  <c r="BH7" i="18"/>
  <c r="BH21" i="18" s="1"/>
  <c r="BG31" i="18"/>
  <c r="BG19" i="18"/>
  <c r="BG20" i="18"/>
  <c r="BG17" i="18"/>
  <c r="BG15" i="18"/>
  <c r="BG16" i="18"/>
  <c r="BG33" i="18"/>
  <c r="BG21" i="18"/>
  <c r="BG34" i="18"/>
  <c r="BG25" i="18"/>
  <c r="BG26" i="18"/>
  <c r="BI11" i="17" l="1"/>
  <c r="BI12" i="17"/>
  <c r="BI14" i="17"/>
  <c r="BI15" i="17"/>
  <c r="BI17" i="17"/>
  <c r="BI18" i="17"/>
  <c r="BI19" i="17"/>
  <c r="BI21" i="17"/>
  <c r="BI22" i="17"/>
  <c r="BI24" i="17"/>
  <c r="BI25" i="17"/>
  <c r="BI26" i="17"/>
  <c r="BI28" i="17"/>
  <c r="BI29" i="17"/>
  <c r="BI31" i="17"/>
  <c r="BI32" i="17"/>
  <c r="BI33" i="17"/>
  <c r="BI35" i="17"/>
  <c r="BI36" i="17"/>
  <c r="BI38" i="17"/>
  <c r="BI39" i="17"/>
  <c r="BI40" i="17"/>
  <c r="BI42" i="17"/>
  <c r="BI43" i="17"/>
  <c r="BI45" i="17"/>
  <c r="BI46" i="17"/>
  <c r="BI47" i="17"/>
  <c r="BI49" i="17"/>
  <c r="BI50" i="17"/>
  <c r="BI52" i="17"/>
  <c r="BI53" i="17"/>
  <c r="BI54" i="17"/>
  <c r="BI56" i="17"/>
  <c r="BI57" i="17"/>
  <c r="BI59" i="17"/>
  <c r="BI60" i="17"/>
  <c r="BI61" i="17"/>
  <c r="BI63" i="17"/>
  <c r="BI64" i="17"/>
  <c r="BI66" i="17"/>
  <c r="BI67" i="17"/>
  <c r="BI68" i="17"/>
  <c r="BI70" i="17"/>
  <c r="BI71" i="17"/>
  <c r="BI73" i="17"/>
  <c r="BI75" i="17"/>
  <c r="BI9" i="17"/>
  <c r="BJ7" i="17"/>
  <c r="BH33" i="18"/>
  <c r="BH22" i="18"/>
  <c r="BH23" i="18"/>
  <c r="BH27" i="18"/>
  <c r="BH30" i="18"/>
  <c r="BH32" i="18"/>
  <c r="BH34" i="18"/>
  <c r="BH17" i="18"/>
  <c r="BH14" i="18"/>
  <c r="BH16" i="18"/>
  <c r="BH9" i="18"/>
  <c r="BH11" i="18"/>
  <c r="BH35" i="18"/>
  <c r="BH25" i="18"/>
  <c r="BH26" i="18"/>
  <c r="BH13" i="18"/>
  <c r="BH18" i="18"/>
  <c r="BH24" i="18"/>
  <c r="BH29" i="18"/>
  <c r="BH19" i="18"/>
  <c r="BH15" i="18"/>
  <c r="BH12" i="18"/>
  <c r="BH28" i="18"/>
  <c r="BH20" i="18"/>
  <c r="BH31" i="18"/>
  <c r="BI7" i="18"/>
  <c r="BI35" i="18" s="1"/>
  <c r="BJ11" i="17" l="1"/>
  <c r="BJ12" i="17"/>
  <c r="BJ14" i="17"/>
  <c r="BJ15" i="17"/>
  <c r="BJ17" i="17"/>
  <c r="BJ18" i="17"/>
  <c r="BJ19" i="17"/>
  <c r="BJ21" i="17"/>
  <c r="BJ22" i="17"/>
  <c r="BJ24" i="17"/>
  <c r="BJ25" i="17"/>
  <c r="BJ26" i="17"/>
  <c r="BJ28" i="17"/>
  <c r="BJ29" i="17"/>
  <c r="BJ31" i="17"/>
  <c r="BJ32" i="17"/>
  <c r="BJ33" i="17"/>
  <c r="BJ35" i="17"/>
  <c r="BJ36" i="17"/>
  <c r="BJ38" i="17"/>
  <c r="BJ39" i="17"/>
  <c r="BJ40" i="17"/>
  <c r="BJ42" i="17"/>
  <c r="BJ43" i="17"/>
  <c r="BJ45" i="17"/>
  <c r="BJ46" i="17"/>
  <c r="BJ47" i="17"/>
  <c r="BJ49" i="17"/>
  <c r="BJ50" i="17"/>
  <c r="BJ52" i="17"/>
  <c r="BJ53" i="17"/>
  <c r="BJ54" i="17"/>
  <c r="BJ56" i="17"/>
  <c r="BJ57" i="17"/>
  <c r="BJ59" i="17"/>
  <c r="BJ60" i="17"/>
  <c r="BJ61" i="17"/>
  <c r="BJ63" i="17"/>
  <c r="BJ64" i="17"/>
  <c r="BJ66" i="17"/>
  <c r="BJ67" i="17"/>
  <c r="BJ68" i="17"/>
  <c r="BJ70" i="17"/>
  <c r="BJ71" i="17"/>
  <c r="BJ73" i="17"/>
  <c r="BJ75" i="17"/>
  <c r="BK7" i="17"/>
  <c r="BJ9" i="17"/>
  <c r="BI21" i="18"/>
  <c r="BI32" i="18"/>
  <c r="BI34" i="18"/>
  <c r="BI9" i="18"/>
  <c r="BI17" i="18"/>
  <c r="BI23" i="18"/>
  <c r="BI15" i="18"/>
  <c r="BI30" i="18"/>
  <c r="BI20" i="18"/>
  <c r="BI16" i="18"/>
  <c r="BI22" i="18"/>
  <c r="BI13" i="18"/>
  <c r="BI25" i="18"/>
  <c r="BI26" i="18"/>
  <c r="BI27" i="18"/>
  <c r="BI28" i="18"/>
  <c r="BI18" i="18"/>
  <c r="BI12" i="18"/>
  <c r="BI29" i="18"/>
  <c r="BI31" i="18"/>
  <c r="BJ7" i="18"/>
  <c r="BJ24" i="18" s="1"/>
  <c r="BI19" i="18"/>
  <c r="BI24" i="18"/>
  <c r="BI33" i="18"/>
  <c r="BI11" i="18"/>
  <c r="BI14" i="18"/>
  <c r="BK11" i="17" l="1"/>
  <c r="BK12" i="17"/>
  <c r="BK14" i="17"/>
  <c r="BK15" i="17"/>
  <c r="BK17" i="17"/>
  <c r="BK18" i="17"/>
  <c r="BK19" i="17"/>
  <c r="BK21" i="17"/>
  <c r="BK22" i="17"/>
  <c r="BK24" i="17"/>
  <c r="BK25" i="17"/>
  <c r="BK26" i="17"/>
  <c r="BK28" i="17"/>
  <c r="BK29" i="17"/>
  <c r="BK31" i="17"/>
  <c r="BK32" i="17"/>
  <c r="BK33" i="17"/>
  <c r="BK35" i="17"/>
  <c r="BK36" i="17"/>
  <c r="BK38" i="17"/>
  <c r="BK39" i="17"/>
  <c r="BK40" i="17"/>
  <c r="BK42" i="17"/>
  <c r="BK43" i="17"/>
  <c r="BK45" i="17"/>
  <c r="BK46" i="17"/>
  <c r="BK47" i="17"/>
  <c r="BK49" i="17"/>
  <c r="BK50" i="17"/>
  <c r="BK52" i="17"/>
  <c r="BK53" i="17"/>
  <c r="BK54" i="17"/>
  <c r="BK56" i="17"/>
  <c r="BK57" i="17"/>
  <c r="BK59" i="17"/>
  <c r="BK60" i="17"/>
  <c r="BK61" i="17"/>
  <c r="BK63" i="17"/>
  <c r="BK64" i="17"/>
  <c r="BK66" i="17"/>
  <c r="BK67" i="17"/>
  <c r="BK68" i="17"/>
  <c r="BK70" i="17"/>
  <c r="BK71" i="17"/>
  <c r="BK73" i="17"/>
  <c r="BK75" i="17"/>
  <c r="BK9" i="17"/>
  <c r="BL7" i="17"/>
  <c r="BJ15" i="18"/>
  <c r="BJ20" i="18"/>
  <c r="BJ17" i="18"/>
  <c r="BJ22" i="18"/>
  <c r="BJ23" i="18"/>
  <c r="BJ28" i="18"/>
  <c r="BJ34" i="18"/>
  <c r="BJ13" i="18"/>
  <c r="BJ29" i="18"/>
  <c r="BJ9" i="18"/>
  <c r="BJ31" i="18"/>
  <c r="BJ11" i="18"/>
  <c r="BJ32" i="18"/>
  <c r="BJ25" i="18"/>
  <c r="BJ16" i="18"/>
  <c r="BJ33" i="18"/>
  <c r="BJ21" i="18"/>
  <c r="BJ30" i="18"/>
  <c r="BK7" i="18"/>
  <c r="BK33" i="18" s="1"/>
  <c r="BJ18" i="18"/>
  <c r="BJ35" i="18"/>
  <c r="BJ12" i="18"/>
  <c r="BJ26" i="18"/>
  <c r="BJ14" i="18"/>
  <c r="BJ27" i="18"/>
  <c r="BJ19" i="18"/>
  <c r="BL11" i="17" l="1"/>
  <c r="BL12" i="17"/>
  <c r="BL14" i="17"/>
  <c r="BL15" i="17"/>
  <c r="BL17" i="17"/>
  <c r="BL18" i="17"/>
  <c r="BL19" i="17"/>
  <c r="BL21" i="17"/>
  <c r="BL22" i="17"/>
  <c r="BL24" i="17"/>
  <c r="BL25" i="17"/>
  <c r="BL26" i="17"/>
  <c r="BL28" i="17"/>
  <c r="BL29" i="17"/>
  <c r="BL31" i="17"/>
  <c r="BL32" i="17"/>
  <c r="BL33" i="17"/>
  <c r="BL35" i="17"/>
  <c r="BL36" i="17"/>
  <c r="BL38" i="17"/>
  <c r="BL39" i="17"/>
  <c r="BL40" i="17"/>
  <c r="BL42" i="17"/>
  <c r="BL43" i="17"/>
  <c r="BL45" i="17"/>
  <c r="BL46" i="17"/>
  <c r="BL47" i="17"/>
  <c r="BL49" i="17"/>
  <c r="BL50" i="17"/>
  <c r="BL52" i="17"/>
  <c r="BL53" i="17"/>
  <c r="BL54" i="17"/>
  <c r="BL56" i="17"/>
  <c r="BL57" i="17"/>
  <c r="BL59" i="17"/>
  <c r="BL60" i="17"/>
  <c r="BL61" i="17"/>
  <c r="BL63" i="17"/>
  <c r="BL64" i="17"/>
  <c r="BL66" i="17"/>
  <c r="BL67" i="17"/>
  <c r="BL68" i="17"/>
  <c r="BL70" i="17"/>
  <c r="BL71" i="17"/>
  <c r="BL73" i="17"/>
  <c r="BL75" i="17"/>
  <c r="BL9" i="17"/>
  <c r="BK12" i="18"/>
  <c r="BK17" i="18"/>
  <c r="BK24" i="18"/>
  <c r="BK11" i="18"/>
  <c r="BK28" i="18"/>
  <c r="BL7" i="18"/>
  <c r="BL35" i="18" s="1"/>
  <c r="BK29" i="18"/>
  <c r="BK9" i="18"/>
  <c r="BK34" i="18"/>
  <c r="BK15" i="18"/>
  <c r="BK25" i="18"/>
  <c r="BK35" i="18"/>
  <c r="BK20" i="18"/>
  <c r="BK26" i="18"/>
  <c r="BK22" i="18"/>
  <c r="BK23" i="18"/>
  <c r="BK18" i="18"/>
  <c r="BK27" i="18"/>
  <c r="BK14" i="18"/>
  <c r="BK30" i="18"/>
  <c r="BK19" i="18"/>
  <c r="BK31" i="18"/>
  <c r="BK21" i="18"/>
  <c r="BK32" i="18"/>
  <c r="BK13" i="18"/>
  <c r="BK16" i="18"/>
  <c r="BL17" i="18" l="1"/>
  <c r="BL16" i="18"/>
  <c r="BL28" i="18"/>
  <c r="BL9" i="18"/>
  <c r="BL11" i="18"/>
  <c r="BL14" i="18"/>
  <c r="BL22" i="18"/>
  <c r="BL27" i="18"/>
  <c r="BL23" i="18"/>
  <c r="BL29" i="18"/>
  <c r="BL18" i="18"/>
  <c r="BL21" i="18"/>
  <c r="BL26" i="18"/>
  <c r="BL30" i="18"/>
  <c r="BL19" i="18"/>
  <c r="BL33" i="18"/>
  <c r="BL32" i="18"/>
  <c r="BL34" i="18"/>
  <c r="BL31" i="18"/>
  <c r="BL15" i="18"/>
  <c r="BL20" i="18"/>
  <c r="BL12" i="18"/>
  <c r="BL24" i="18"/>
  <c r="BL13" i="18"/>
  <c r="BL25" i="18"/>
  <c r="F13" i="16"/>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l="1"/>
  <c r="AN31"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J25" i="16" s="1"/>
  <c r="BI22" i="16"/>
  <c r="BI21" i="16"/>
  <c r="BI19" i="16"/>
  <c r="BI24" i="16"/>
  <c r="BI28" i="16"/>
  <c r="BI27" i="16"/>
  <c r="BI11" i="16"/>
  <c r="BI14" i="16"/>
  <c r="BI30" i="16"/>
  <c r="BI31" i="16"/>
  <c r="BI17" i="16"/>
  <c r="BI32" i="16"/>
  <c r="BI13" i="16"/>
  <c r="BI20" i="16"/>
  <c r="BI34" i="16"/>
  <c r="BI12" i="16"/>
  <c r="BI15" i="16"/>
  <c r="BI23" i="16"/>
  <c r="BI26" i="16"/>
  <c r="BI35" i="16"/>
  <c r="BI16" i="16"/>
  <c r="BI25" i="16"/>
  <c r="BJ26" i="16" l="1"/>
  <c r="BJ18" i="16"/>
  <c r="BJ9" i="16"/>
  <c r="BJ16" i="16"/>
  <c r="BJ19" i="16"/>
  <c r="BJ17" i="16"/>
  <c r="BJ27" i="16"/>
  <c r="BJ30" i="16"/>
  <c r="BJ31" i="16"/>
  <c r="BJ34" i="16"/>
  <c r="BJ13" i="16"/>
  <c r="BJ22" i="16"/>
  <c r="BJ32" i="16"/>
  <c r="BJ14" i="16"/>
  <c r="BJ15" i="16"/>
  <c r="BJ23" i="16"/>
  <c r="BJ33" i="16"/>
  <c r="BJ11" i="16"/>
  <c r="BK7" i="16"/>
  <c r="BK27" i="16" s="1"/>
  <c r="BJ24" i="16"/>
  <c r="BJ29" i="16"/>
  <c r="BJ20" i="16"/>
  <c r="BJ28" i="16"/>
  <c r="BJ35" i="16"/>
  <c r="BJ12" i="16"/>
  <c r="BJ21" i="16"/>
  <c r="BK23" i="16" l="1"/>
  <c r="BK11" i="16"/>
  <c r="BK20" i="16"/>
  <c r="BK30" i="16"/>
  <c r="BK29" i="16"/>
  <c r="BK31" i="16"/>
  <c r="BK32" i="16"/>
  <c r="BK24" i="16"/>
  <c r="BK19" i="16"/>
  <c r="BK18" i="16"/>
  <c r="BK34" i="16"/>
  <c r="BK35" i="16"/>
  <c r="BK13" i="16"/>
  <c r="BK14" i="16"/>
  <c r="BK22" i="16"/>
  <c r="BK33" i="16"/>
  <c r="BK25" i="16"/>
  <c r="BK16" i="16"/>
  <c r="BK15" i="16"/>
  <c r="BK17" i="16"/>
  <c r="BK21" i="16"/>
  <c r="BK9" i="16"/>
  <c r="BK28" i="16"/>
  <c r="BL7" i="16"/>
  <c r="BL31" i="16" s="1"/>
  <c r="BK26" i="16"/>
  <c r="BK12" i="16"/>
  <c r="BL14" i="16" l="1"/>
  <c r="BL13" i="16"/>
  <c r="BL35" i="16"/>
  <c r="BL23" i="16"/>
  <c r="BL15" i="16"/>
  <c r="BL25" i="16"/>
  <c r="BL20" i="16"/>
  <c r="BL28" i="16"/>
  <c r="BL19" i="16"/>
  <c r="BL22" i="16"/>
  <c r="BL12" i="16"/>
  <c r="BL32" i="16"/>
  <c r="BL17" i="16"/>
  <c r="BL33" i="16"/>
  <c r="BL18" i="16"/>
  <c r="BL34" i="16"/>
  <c r="BL21" i="16"/>
  <c r="BL27" i="16"/>
  <c r="BL24" i="16"/>
  <c r="BL30" i="16"/>
  <c r="BL26" i="16"/>
  <c r="BL9" i="16"/>
  <c r="BL29" i="16"/>
  <c r="BL11" i="16"/>
  <c r="BL16"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<sst xmlns="http://schemas.openxmlformats.org/spreadsheetml/2006/main" count="312" uniqueCount="108">
  <si>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</si>
  <si>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</si>
  <si>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</si>
  <si>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 xml:space="preserve">EatAndShare Gantt Chart </t>
  </si>
  <si>
    <t>Selin Birgul and Andrias Zelele</t>
  </si>
  <si>
    <t>Legend:</t>
  </si>
  <si>
    <t>On track</t>
  </si>
  <si>
    <t>Low risk</t>
  </si>
  <si>
    <t>Med risk</t>
  </si>
  <si>
    <t>High risk</t>
  </si>
  <si>
    <t>Unassigned</t>
  </si>
  <si>
    <t>Project start date:</t>
  </si>
  <si>
    <t>Milestone description</t>
  </si>
  <si>
    <t>Column1</t>
  </si>
  <si>
    <t>Assigned to</t>
  </si>
  <si>
    <t>Progress</t>
  </si>
  <si>
    <t>Start</t>
  </si>
  <si>
    <t>Days</t>
  </si>
  <si>
    <t>Project development</t>
  </si>
  <si>
    <t>Create Git Repository</t>
  </si>
  <si>
    <t>Med Risk</t>
  </si>
  <si>
    <t>Both</t>
  </si>
  <si>
    <t>Login and Create Account page design</t>
  </si>
  <si>
    <t>Low Risk</t>
  </si>
  <si>
    <t>Andrias</t>
  </si>
  <si>
    <t xml:space="preserve">create gantt chart </t>
  </si>
  <si>
    <t>Selin</t>
  </si>
  <si>
    <t>User recipe uploading page design</t>
  </si>
  <si>
    <t>creating catagories and for the home page</t>
  </si>
  <si>
    <t>connecting login page with jpa backend</t>
  </si>
  <si>
    <t>work on gantt chart+flowchart</t>
  </si>
  <si>
    <t>work on user registration</t>
  </si>
  <si>
    <t>design ERD for our entire database</t>
  </si>
  <si>
    <t xml:space="preserve">create the tables for the database </t>
  </si>
  <si>
    <t>build the html page for the breakfast category</t>
  </si>
  <si>
    <t>High Risk</t>
  </si>
  <si>
    <t>selin</t>
  </si>
  <si>
    <t>build the html page for the lunch category</t>
  </si>
  <si>
    <t>build the html page for the dinner category</t>
  </si>
  <si>
    <t>build the html page for the vegan category</t>
  </si>
  <si>
    <t>build the html page for the vegetarian category</t>
  </si>
  <si>
    <t>add login validation</t>
  </si>
  <si>
    <t>insert new user record into Users table</t>
  </si>
  <si>
    <t>build the recipe detail page</t>
  </si>
  <si>
    <t>work on implementation of searching for recipes</t>
  </si>
  <si>
    <t>work on implemetation of adding recipes</t>
  </si>
  <si>
    <t xml:space="preserve"> implemetation of deleting recipes</t>
  </si>
  <si>
    <t>add form validation for recipe uplad form</t>
  </si>
  <si>
    <t>work on recipe upload to the website feature</t>
  </si>
  <si>
    <t>Integrate recipe feed with backend</t>
  </si>
  <si>
    <t>work on recipe detail page's backend</t>
  </si>
  <si>
    <t>make the design of the pages better</t>
  </si>
  <si>
    <t>add at least 5 recipes for each category in the database</t>
  </si>
  <si>
    <t>write  unit tests for login service</t>
  </si>
  <si>
    <t>andrias</t>
  </si>
  <si>
    <t>write  unit tests for recipe upload service</t>
  </si>
  <si>
    <t>write unit tests for search functionality</t>
  </si>
  <si>
    <t>write unit tests for recipe service</t>
  </si>
  <si>
    <t>add logging to all services</t>
  </si>
  <si>
    <t>uploading images to our directory</t>
  </si>
  <si>
    <t>commenting the model classes</t>
  </si>
  <si>
    <t>fix holes on the service page</t>
  </si>
  <si>
    <t>unit test for recipe service</t>
  </si>
  <si>
    <t>fixing the homepage</t>
  </si>
  <si>
    <t>creating about page and contact us page</t>
  </si>
  <si>
    <t>linked the contact page with andrias's email</t>
  </si>
  <si>
    <t>session handling</t>
  </si>
  <si>
    <t>developer documentation</t>
  </si>
  <si>
    <t>user documentation</t>
  </si>
  <si>
    <t>finish unit testing for all services</t>
  </si>
  <si>
    <t>both</t>
  </si>
  <si>
    <t>add validation to deleting recipes</t>
  </si>
  <si>
    <t>user shouldn’t be able to post the same recipe twice</t>
  </si>
  <si>
    <t>password changing</t>
  </si>
  <si>
    <t>UserService Class Testing</t>
  </si>
  <si>
    <t>RecipeService Class Save method Testing</t>
  </si>
  <si>
    <t>adding javadoc to service classes</t>
  </si>
  <si>
    <t>Fixing Devlopers doc</t>
  </si>
  <si>
    <t>Fixing Java Doc</t>
  </si>
  <si>
    <t>Fixing the Gyannt chart</t>
  </si>
  <si>
    <t>Fixing Logging(context)</t>
  </si>
  <si>
    <t>Fixing Packaging of Classes</t>
  </si>
  <si>
    <t>Fixing User doc</t>
  </si>
  <si>
    <t>Fixing ERD</t>
  </si>
  <si>
    <t>Fixing Recipe service test class</t>
  </si>
  <si>
    <t>Fixing User service test class</t>
  </si>
  <si>
    <t>Doing presentation demo</t>
  </si>
  <si>
    <t>PROJECT: Dark</t>
  </si>
  <si>
    <t>Contoso, Ltd.</t>
  </si>
  <si>
    <t>Gupreet Bawa</t>
  </si>
  <si>
    <t>Scrolling increment:</t>
  </si>
  <si>
    <t>Category</t>
  </si>
  <si>
    <t>TITLE 1</t>
  </si>
  <si>
    <t>Task 1</t>
  </si>
  <si>
    <t>Goal</t>
  </si>
  <si>
    <t>Name</t>
  </si>
  <si>
    <t>Task 2</t>
  </si>
  <si>
    <t>Milestone</t>
  </si>
  <si>
    <t>Task 3</t>
  </si>
  <si>
    <t>Task 4</t>
  </si>
  <si>
    <t>Task 5</t>
  </si>
  <si>
    <t>TITLE 2</t>
  </si>
  <si>
    <t>On Track</t>
  </si>
  <si>
    <t>TITLE 3</t>
  </si>
  <si>
    <t>TITLE 4</t>
  </si>
  <si>
    <t>To add more data, Insert new rows ABOVE this one</t>
  </si>
  <si>
    <t>PROJECT: Color</t>
  </si>
  <si>
    <t>Hayden Cook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</si>
</sst>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
      <sz val="12"/>
      <color theme="8" tint="-0.499984740745262"/>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theme="0"/>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5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0" fillId="15" borderId="4" xfId="0" applyFill="1" applyBorder="1" applyAlignment="1">
      <alignment horizontal="center" vertical="center"/>
    </xf>
    <xf numFmtId="0" fontId="10" fillId="15" borderId="4" xfId="0" applyFont="1" applyFill="1" applyBorder="1" applyAlignment="1">
      <alignment horizontal="center" vertical="center"/>
    </xf>
    <xf numFmtId="14" fontId="3" fillId="0" borderId="0" xfId="0" applyNumberFormat="1" applyFont="1" applyAlignment="1">
      <alignment horizontal="center" vertical="center"/>
    </xf>
    <xf numFmtId="37" fontId="3" fillId="0" borderId="0" xfId="0" applyNumberFormat="1" applyFont="1" applyAlignment="1">
      <alignment horizontal="center" vertical="center"/>
    </xf>
    <xf numFmtId="0" fontId="0" fillId="0" borderId="0" xfId="0" applyAlignment="1">
      <alignment horizontal="left" vertical="top"/>
    </xf>
    <xf numFmtId="0" fontId="23" fillId="0" borderId="0" xfId="5" applyFont="1" applyFill="1" applyBorder="1" applyAlignment="1">
      <alignment horizontal="left" vertical="top"/>
    </xf>
    <xf numFmtId="0" fontId="34" fillId="0" borderId="0" xfId="0" applyFont="1" applyAlignment="1">
      <alignment horizontal="left" vertical="top" wrapText="1"/>
    </xf>
    <xf numFmtId="0" fontId="20" fillId="0" borderId="0" xfId="0" applyFont="1" applyAlignment="1">
      <alignment horizontal="left" vertical="top" wrapText="1"/>
    </xf>
    <xf numFmtId="0" fontId="20" fillId="0" borderId="0" xfId="0" applyFont="1" applyAlignment="1">
      <alignment horizontal="left" vertical="top"/>
    </xf>
    <xf numFmtId="0" fontId="35" fillId="0" borderId="0" xfId="0" applyFont="1" applyAlignment="1">
      <alignment horizontal="left" vertical="top" wrapText="1"/>
    </xf>
    <xf numFmtId="0" fontId="21" fillId="9" borderId="0" xfId="0" applyFont="1" applyFill="1" applyAlignment="1">
      <alignment horizontal="left" vertical="top"/>
    </xf>
    <xf numFmtId="0" fontId="0" fillId="0" borderId="0" xfId="0" applyAlignment="1">
      <alignment horizontal="left" vertical="top" wrapText="1"/>
    </xf>
    <xf numFmtId="0" fontId="3" fillId="0" borderId="0" xfId="0" applyFont="1" applyAlignment="1">
      <alignment horizontal="left" vertical="top" wrapText="1"/>
    </xf>
    <xf numFmtId="0" fontId="27" fillId="0" borderId="0" xfId="6" applyFont="1" applyFill="1" applyAlignment="1">
      <alignment horizontal="left" vertical="top"/>
    </xf>
    <xf numFmtId="0" fontId="33" fillId="0" borderId="0" xfId="5" applyFont="1" applyFill="1" applyAlignment="1">
      <alignment horizontal="left" vertical="top"/>
    </xf>
    <xf numFmtId="0" fontId="3" fillId="0" borderId="0" xfId="8" applyFont="1" applyFill="1" applyAlignment="1">
      <alignment horizontal="left" vertical="top"/>
    </xf>
    <xf numFmtId="0" fontId="3" fillId="0" borderId="0" xfId="0" applyFont="1" applyAlignment="1">
      <alignment horizontal="left" vertical="top"/>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92">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9"/>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7" tint="-0.24994659260841701"/>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top"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91"/>
      <tableStyleElement type="headerRow" dxfId="90"/>
      <tableStyleElement type="firstRowStripe" dxfId="89"/>
      <tableStyleElement type="secondRowStripe" dxfId="88"/>
    </tableStyle>
    <tableStyle name="ToDoList" pivot="0" count="9" xr9:uid="{00000000-0011-0000-FFFF-FFFF00000000}">
      <tableStyleElement type="wholeTable" dxfId="87"/>
      <tableStyleElement type="headerRow" dxfId="86"/>
      <tableStyleElement type="totalRow" dxfId="85"/>
      <tableStyleElement type="firstColumn" dxfId="84"/>
      <tableStyleElement type="lastColumn" dxfId="83"/>
      <tableStyleElement type="firstRowStripe" dxfId="82"/>
      <tableStyleElement type="secondRowStripe" dxfId="81"/>
      <tableStyleElement type="firstColumnStripe" dxfId="80"/>
      <tableStyleElement type="secondColumnStripe" dxfId="7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val="30"/>
</file>

<file path=xl/ctrlProps/ctrlProp2.xml><?xml version="1.0" encoding="utf-8"?>
<formControlPr xmlns="http://schemas.microsoft.com/office/spreadsheetml/2009/9/main" objectType="Scroll" dx="39" fmlaLink="$C$7" horiz="1" max="365" page="2" val="5"/>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7</xdr:row>
          <xdr:rowOff>63500</xdr:rowOff>
        </xdr:from>
        <xdr:to>
          <xdr:col>64</xdr:col>
          <xdr:colOff>0</xdr:colOff>
          <xdr:row>7</xdr:row>
          <xdr:rowOff>241300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7</xdr:row>
          <xdr:rowOff>63500</xdr:rowOff>
        </xdr:from>
        <xdr:to>
          <xdr:col>64</xdr:col>
          <xdr:colOff>0</xdr:colOff>
          <xdr:row>7</xdr:row>
          <xdr:rowOff>241300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7</xdr:row>
          <xdr:rowOff>63500</xdr:rowOff>
        </xdr:from>
        <xdr:to>
          <xdr:col>64</xdr:col>
          <xdr:colOff>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73" totalsRowShown="0" headerRowDxfId="78" dataDxfId="77">
  <autoFilter ref="B9:G73"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76"/>
    <tableColumn id="2" xr3:uid="{39BD914E-FB02-4352-846C-6D59624DC0B0}" name="Column1" dataDxfId="75"/>
    <tableColumn id="3" xr3:uid="{D274194F-BCA0-44F3-84B2-217254EE241C}" name="Assigned to" dataDxfId="74"/>
    <tableColumn id="4" xr3:uid="{8385BC6F-56EE-4363-A106-8DB0A1E4EF5A}" name="Progress" dataDxfId="73"/>
    <tableColumn id="5" xr3:uid="{02926609-7B93-4B6F-BE96-92EC7A949E4B}" name="Start" dataDxfId="72" dataCellStyle="Date"/>
    <tableColumn id="6" xr3:uid="{8FF9BE8E-04B7-4B39-AC27-D2E534204BC3}" name="Days" dataDxfId="71"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7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69"/>
    <tableColumn id="2" xr3:uid="{529EEF64-D037-4ACF-8CA4-0C10FE2D1FBB}" name="Category" dataDxfId="68"/>
    <tableColumn id="3" xr3:uid="{711D01BA-2785-403A-9636-CCC7E2ADA584}" name="Assigned to" dataDxfId="67"/>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6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65"/>
    <tableColumn id="2" xr3:uid="{4492A0B8-068F-4002-9E8D-E1F5FED367F0}" name="Category" dataDxfId="64"/>
    <tableColumn id="3" xr3:uid="{DF1A764E-7050-4528-B7F9-B6AB99372146}" name="Assigned to" dataDxfId="63"/>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topLeftCell="A7" zoomScaleNormal="100" workbookViewId="0"/>
  </sheetViews>
  <sheetFormatPr baseColWidth="10" defaultColWidth="9.1640625" defaultRowHeight="14" x14ac:dyDescent="0.2"/>
  <cols>
    <col min="1" max="1" width="4.83203125" style="8" customWidth="1"/>
    <col min="2" max="2" width="2.83203125" style="8" customWidth="1"/>
    <col min="3" max="5" width="40.83203125" style="6" customWidth="1"/>
    <col min="6" max="6" width="2.83203125" style="6" customWidth="1"/>
    <col min="7" max="16384" width="9.1640625" style="6"/>
  </cols>
  <sheetData>
    <row r="1" spans="1:13" s="7" customFormat="1" ht="33" x14ac:dyDescent="0.3">
      <c r="D1" s="105"/>
    </row>
    <row r="2" spans="1:13" ht="50" customHeight="1" x14ac:dyDescent="0.3">
      <c r="A2" s="7"/>
      <c r="B2" s="111"/>
      <c r="C2" s="140" t="s">
        <v>0</v>
      </c>
      <c r="D2" s="140"/>
      <c r="E2" s="140"/>
      <c r="F2" s="111"/>
      <c r="G2" s="7"/>
      <c r="H2" s="7"/>
      <c r="I2" s="7"/>
      <c r="J2" s="7"/>
      <c r="K2" s="7"/>
      <c r="L2" s="7"/>
      <c r="M2" s="7"/>
    </row>
    <row r="3" spans="1:13" ht="14.5" customHeight="1" x14ac:dyDescent="0.3">
      <c r="A3" s="7"/>
      <c r="B3" s="106"/>
      <c r="C3" s="107"/>
      <c r="D3" s="108"/>
      <c r="E3" s="106"/>
      <c r="F3" s="106"/>
      <c r="G3" s="7"/>
      <c r="H3" s="7"/>
      <c r="I3" s="7"/>
      <c r="J3" s="7"/>
      <c r="K3" s="7"/>
      <c r="L3" s="7"/>
      <c r="M3" s="7"/>
    </row>
    <row r="4" spans="1:13" s="8" customFormat="1" ht="67" customHeight="1" x14ac:dyDescent="0.3">
      <c r="A4" s="7"/>
      <c r="B4" s="106"/>
      <c r="C4" s="141" t="s">
        <v>1</v>
      </c>
      <c r="D4" s="141"/>
      <c r="E4" s="141"/>
      <c r="F4" s="106"/>
      <c r="G4" s="7"/>
      <c r="H4" s="7"/>
      <c r="I4" s="7"/>
      <c r="J4" s="7"/>
      <c r="K4" s="7"/>
      <c r="L4" s="7"/>
      <c r="M4" s="7"/>
    </row>
    <row r="5" spans="1:13" s="8" customFormat="1" ht="67" customHeight="1" x14ac:dyDescent="0.3">
      <c r="A5" s="7"/>
      <c r="B5" s="106"/>
      <c r="C5" s="141" t="s">
        <v>2</v>
      </c>
      <c r="D5" s="141"/>
      <c r="E5" s="141"/>
      <c r="F5" s="106"/>
      <c r="G5" s="7"/>
      <c r="H5" s="7"/>
      <c r="I5" s="7"/>
      <c r="J5" s="7"/>
      <c r="K5" s="7"/>
      <c r="L5" s="7"/>
      <c r="M5" s="7"/>
    </row>
    <row r="6" spans="1:13" ht="15" x14ac:dyDescent="0.2">
      <c r="A6" s="6"/>
      <c r="B6" s="109"/>
      <c r="C6" s="109"/>
      <c r="D6" s="110"/>
      <c r="E6" s="109"/>
      <c r="F6" s="109"/>
    </row>
    <row r="7" spans="1:13" ht="50" customHeight="1" x14ac:dyDescent="0.2">
      <c r="A7" s="6"/>
      <c r="B7" s="6"/>
    </row>
    <row r="8" spans="1:13" ht="14.5" customHeight="1" x14ac:dyDescent="0.2">
      <c r="A8" s="6"/>
      <c r="B8" s="6"/>
    </row>
    <row r="9" spans="1:13" ht="90" customHeight="1" x14ac:dyDescent="0.2">
      <c r="C9" s="8"/>
      <c r="D9" s="8"/>
      <c r="E9" s="8"/>
      <c r="F9" s="8"/>
      <c r="G9" s="8"/>
      <c r="H9" s="8"/>
    </row>
    <row r="10" spans="1:13" ht="1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codeName="Sheet1">
    <pageSetUpPr fitToPage="1"/>
  </sheetPr>
  <dimension ref="A1:BP75"/>
  <sheetViews>
    <sheetView showGridLines="0" tabSelected="1" showRuler="0" topLeftCell="A48" zoomScale="113" zoomScaleNormal="100" zoomScalePageLayoutView="70" workbookViewId="0">
      <selection activeCell="F33" sqref="F33"/>
    </sheetView>
  </sheetViews>
  <sheetFormatPr baseColWidth="10" defaultColWidth="8.83203125" defaultRowHeight="30" customHeight="1" x14ac:dyDescent="0.2"/>
  <cols>
    <col min="1" max="1" width="4.83203125" style="9" customWidth="1"/>
    <col min="2" max="2" width="34.5" style="127" customWidth="1"/>
    <col min="3" max="3" width="13.5" bestFit="1" customWidth="1"/>
    <col min="4" max="4" width="20.5" customWidth="1"/>
    <col min="5" max="5" width="15.83203125" customWidth="1"/>
    <col min="6" max="6" width="10.5" style="2" customWidth="1"/>
    <col min="7" max="7" width="10.5" customWidth="1"/>
    <col min="8" max="8" width="2.5" customWidth="1"/>
    <col min="9" max="64" width="3.5" customWidth="1"/>
    <col min="65" max="65" width="2.5" customWidth="1"/>
  </cols>
  <sheetData>
    <row r="1" spans="1:68" ht="25" customHeight="1" x14ac:dyDescent="0.2"/>
    <row r="2" spans="1:68" ht="50" customHeight="1" x14ac:dyDescent="0.2">
      <c r="A2" s="10"/>
      <c r="B2" s="144" t="s">
        <v>3</v>
      </c>
      <c r="C2" s="144"/>
      <c r="D2" s="144"/>
      <c r="E2" s="144"/>
      <c r="F2" s="144"/>
      <c r="G2" s="144"/>
      <c r="H2" s="144"/>
      <c r="I2" s="145"/>
      <c r="J2" s="145"/>
      <c r="K2" s="145"/>
      <c r="L2" s="145"/>
      <c r="M2" s="145"/>
      <c r="N2" s="145"/>
      <c r="O2" s="146"/>
      <c r="P2" s="146"/>
      <c r="Q2" s="146"/>
      <c r="R2" s="146"/>
      <c r="S2" s="146"/>
      <c r="T2" s="146"/>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20" customHeight="1" x14ac:dyDescent="0.2">
      <c r="A3" s="10"/>
      <c r="B3" s="128"/>
      <c r="C3" s="67"/>
      <c r="D3" s="68"/>
      <c r="E3" s="68"/>
      <c r="F3" s="69"/>
      <c r="G3" s="68"/>
      <c r="H3" s="68"/>
      <c r="I3" s="82"/>
      <c r="J3" s="1"/>
      <c r="K3" s="1"/>
      <c r="L3" s="1"/>
    </row>
    <row r="4" spans="1:68" ht="30" customHeight="1" x14ac:dyDescent="0.2">
      <c r="A4" s="10"/>
      <c r="B4" s="136" t="s">
        <v>4</v>
      </c>
      <c r="C4" s="71"/>
      <c r="D4" s="72"/>
      <c r="E4" s="73"/>
      <c r="F4" s="74"/>
      <c r="G4" s="75" t="s">
        <v>5</v>
      </c>
      <c r="H4" s="73"/>
      <c r="I4" s="147" t="s">
        <v>6</v>
      </c>
      <c r="J4" s="147"/>
      <c r="K4" s="147"/>
      <c r="L4" s="147"/>
      <c r="N4" s="148" t="s">
        <v>7</v>
      </c>
      <c r="O4" s="148"/>
      <c r="P4" s="148"/>
      <c r="Q4" s="148"/>
      <c r="S4" s="149" t="s">
        <v>8</v>
      </c>
      <c r="T4" s="149"/>
      <c r="U4" s="149"/>
      <c r="V4" s="149"/>
      <c r="X4" s="142" t="s">
        <v>9</v>
      </c>
      <c r="Y4" s="142"/>
      <c r="Z4" s="142"/>
      <c r="AA4" s="142"/>
      <c r="AC4" s="143" t="s">
        <v>10</v>
      </c>
      <c r="AD4" s="143"/>
      <c r="AE4" s="143"/>
      <c r="AF4" s="143"/>
    </row>
    <row r="5" spans="1:68" ht="30" customHeight="1" x14ac:dyDescent="0.2">
      <c r="A5" s="10"/>
      <c r="B5" s="137"/>
      <c r="C5" s="72"/>
      <c r="D5" s="72"/>
      <c r="E5" s="73"/>
      <c r="F5" s="74"/>
      <c r="G5" s="73"/>
      <c r="H5" s="73"/>
    </row>
    <row r="6" spans="1:68" ht="30" customHeight="1" x14ac:dyDescent="0.25">
      <c r="A6" s="10"/>
      <c r="B6" s="138" t="s">
        <v>11</v>
      </c>
      <c r="C6" s="78" cm="1">
        <f t="array" ref="C6">IFERROR(IF(MIN(Milestones4352[Start])=0,DATE(2025,2,26),B11(Milestones4352[Start])),DATE(2025,9,3))</f>
        <v>45903</v>
      </c>
      <c r="D6" s="79"/>
      <c r="E6" s="73"/>
      <c r="F6" s="74"/>
      <c r="G6" s="73"/>
      <c r="H6" s="73"/>
      <c r="I6" s="89" t="str">
        <f ca="1">TEXT(I7,"mmmm")</f>
        <v>October</v>
      </c>
      <c r="J6" s="89"/>
      <c r="K6" s="89"/>
      <c r="L6" s="89"/>
      <c r="M6" s="89"/>
      <c r="N6" s="89"/>
      <c r="O6" s="89"/>
      <c r="P6" s="89" t="str">
        <f ca="1">IF(TEXT(P7,"mmmm")=I6,"",TEXT(P7,"mmmm"))</f>
        <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November</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c r="BM6" s="88"/>
    </row>
    <row r="7" spans="1:68" ht="30" customHeight="1" x14ac:dyDescent="0.2">
      <c r="A7" s="10"/>
      <c r="B7" s="138"/>
      <c r="C7" s="80">
        <v>30</v>
      </c>
      <c r="D7" s="72"/>
      <c r="E7" s="73"/>
      <c r="F7" s="73"/>
      <c r="G7" s="73"/>
      <c r="H7" s="81"/>
      <c r="I7" s="96">
        <f ca="1">IFERROR(Project_Start+Scrolling_Increment,TODAY())</f>
        <v>45933</v>
      </c>
      <c r="J7" s="97">
        <f ca="1">I7+1</f>
        <v>45934</v>
      </c>
      <c r="K7" s="97">
        <f t="shared" ref="K7:AX7" ca="1" si="0">J7+1</f>
        <v>45935</v>
      </c>
      <c r="L7" s="97">
        <f t="shared" ca="1" si="0"/>
        <v>45936</v>
      </c>
      <c r="M7" s="97">
        <f t="shared" ca="1" si="0"/>
        <v>45937</v>
      </c>
      <c r="N7" s="97">
        <f t="shared" ca="1" si="0"/>
        <v>45938</v>
      </c>
      <c r="O7" s="98">
        <f t="shared" ca="1" si="0"/>
        <v>45939</v>
      </c>
      <c r="P7" s="97">
        <f ca="1">O7+1</f>
        <v>45940</v>
      </c>
      <c r="Q7" s="97">
        <f ca="1">P7+1</f>
        <v>45941</v>
      </c>
      <c r="R7" s="97">
        <f t="shared" ca="1" si="0"/>
        <v>45942</v>
      </c>
      <c r="S7" s="97">
        <f t="shared" ca="1" si="0"/>
        <v>45943</v>
      </c>
      <c r="T7" s="97">
        <f t="shared" ca="1" si="0"/>
        <v>45944</v>
      </c>
      <c r="U7" s="97">
        <f t="shared" ca="1" si="0"/>
        <v>45945</v>
      </c>
      <c r="V7" s="98">
        <f t="shared" ca="1" si="0"/>
        <v>45946</v>
      </c>
      <c r="W7" s="97">
        <f ca="1">V7+1</f>
        <v>45947</v>
      </c>
      <c r="X7" s="97">
        <f ca="1">W7+1</f>
        <v>45948</v>
      </c>
      <c r="Y7" s="97">
        <f t="shared" ca="1" si="0"/>
        <v>45949</v>
      </c>
      <c r="Z7" s="97">
        <f t="shared" ca="1" si="0"/>
        <v>45950</v>
      </c>
      <c r="AA7" s="97">
        <f t="shared" ca="1" si="0"/>
        <v>45951</v>
      </c>
      <c r="AB7" s="97">
        <f t="shared" ca="1" si="0"/>
        <v>45952</v>
      </c>
      <c r="AC7" s="98">
        <f t="shared" ca="1" si="0"/>
        <v>45953</v>
      </c>
      <c r="AD7" s="97">
        <f ca="1">AC7+1</f>
        <v>45954</v>
      </c>
      <c r="AE7" s="97">
        <f ca="1">AD7+1</f>
        <v>45955</v>
      </c>
      <c r="AF7" s="97">
        <f t="shared" ca="1" si="0"/>
        <v>45956</v>
      </c>
      <c r="AG7" s="97">
        <f t="shared" ca="1" si="0"/>
        <v>45957</v>
      </c>
      <c r="AH7" s="97">
        <f t="shared" ca="1" si="0"/>
        <v>45958</v>
      </c>
      <c r="AI7" s="97">
        <f t="shared" ca="1" si="0"/>
        <v>45959</v>
      </c>
      <c r="AJ7" s="98">
        <f t="shared" ca="1" si="0"/>
        <v>45960</v>
      </c>
      <c r="AK7" s="97">
        <f ca="1">AJ7+1</f>
        <v>45961</v>
      </c>
      <c r="AL7" s="97">
        <f ca="1">AK7+1</f>
        <v>45962</v>
      </c>
      <c r="AM7" s="97">
        <f t="shared" ca="1" si="0"/>
        <v>45963</v>
      </c>
      <c r="AN7" s="97">
        <f t="shared" ca="1" si="0"/>
        <v>45964</v>
      </c>
      <c r="AO7" s="97">
        <f t="shared" ca="1" si="0"/>
        <v>45965</v>
      </c>
      <c r="AP7" s="97">
        <f t="shared" ca="1" si="0"/>
        <v>45966</v>
      </c>
      <c r="AQ7" s="98">
        <f t="shared" ca="1" si="0"/>
        <v>45967</v>
      </c>
      <c r="AR7" s="97">
        <f ca="1">AQ7+1</f>
        <v>45968</v>
      </c>
      <c r="AS7" s="97">
        <f ca="1">AR7+1</f>
        <v>45969</v>
      </c>
      <c r="AT7" s="97">
        <f t="shared" ca="1" si="0"/>
        <v>45970</v>
      </c>
      <c r="AU7" s="97">
        <f t="shared" ca="1" si="0"/>
        <v>45971</v>
      </c>
      <c r="AV7" s="97">
        <f t="shared" ca="1" si="0"/>
        <v>45972</v>
      </c>
      <c r="AW7" s="97">
        <f t="shared" ca="1" si="0"/>
        <v>45973</v>
      </c>
      <c r="AX7" s="98">
        <f t="shared" ca="1" si="0"/>
        <v>45974</v>
      </c>
      <c r="AY7" s="97">
        <f ca="1">AX7+1</f>
        <v>45975</v>
      </c>
      <c r="AZ7" s="97">
        <f ca="1">AY7+1</f>
        <v>45976</v>
      </c>
      <c r="BA7" s="97">
        <f t="shared" ref="BA7:BE7" ca="1" si="1">AZ7+1</f>
        <v>45977</v>
      </c>
      <c r="BB7" s="97">
        <f t="shared" ca="1" si="1"/>
        <v>45978</v>
      </c>
      <c r="BC7" s="97">
        <f t="shared" ca="1" si="1"/>
        <v>45979</v>
      </c>
      <c r="BD7" s="97">
        <f t="shared" ca="1" si="1"/>
        <v>45980</v>
      </c>
      <c r="BE7" s="98">
        <f t="shared" ca="1" si="1"/>
        <v>45981</v>
      </c>
      <c r="BF7" s="97">
        <f ca="1">BE7+1</f>
        <v>45982</v>
      </c>
      <c r="BG7" s="97">
        <f ca="1">BF7+1</f>
        <v>45983</v>
      </c>
      <c r="BH7" s="97">
        <f t="shared" ref="BH7:BL7" ca="1" si="2">BG7+1</f>
        <v>45984</v>
      </c>
      <c r="BI7" s="97">
        <f t="shared" ca="1" si="2"/>
        <v>45985</v>
      </c>
      <c r="BJ7" s="97">
        <f t="shared" ca="1" si="2"/>
        <v>45986</v>
      </c>
      <c r="BK7" s="97">
        <f t="shared" ca="1" si="2"/>
        <v>45987</v>
      </c>
      <c r="BL7" s="98">
        <f t="shared" ca="1" si="2"/>
        <v>45988</v>
      </c>
    </row>
    <row r="8" spans="1:68" ht="20" customHeight="1" x14ac:dyDescent="0.2">
      <c r="A8" s="10"/>
      <c r="B8" s="139"/>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 customHeight="1" x14ac:dyDescent="0.2">
      <c r="A9" s="10"/>
      <c r="B9" s="133" t="s">
        <v>12</v>
      </c>
      <c r="C9" s="112" t="s">
        <v>13</v>
      </c>
      <c r="D9" s="112" t="s">
        <v>14</v>
      </c>
      <c r="E9" s="112" t="s">
        <v>15</v>
      </c>
      <c r="F9" s="112" t="s">
        <v>16</v>
      </c>
      <c r="G9" s="112" t="s">
        <v>17</v>
      </c>
      <c r="H9" s="86"/>
      <c r="I9" s="104" t="str">
        <f t="shared" ref="I9:AN9" ca="1" si="3">LEFT(TEXT(I7,"ddd"),1)</f>
        <v>F</v>
      </c>
      <c r="J9" s="104" t="str">
        <f t="shared" ca="1" si="3"/>
        <v>S</v>
      </c>
      <c r="K9" s="104" t="str">
        <f t="shared" ca="1" si="3"/>
        <v>S</v>
      </c>
      <c r="L9" s="104" t="str">
        <f t="shared" ca="1" si="3"/>
        <v>M</v>
      </c>
      <c r="M9" s="104" t="str">
        <f t="shared" ca="1" si="3"/>
        <v>T</v>
      </c>
      <c r="N9" s="104" t="str">
        <f t="shared" ca="1" si="3"/>
        <v>W</v>
      </c>
      <c r="O9" s="104" t="str">
        <f t="shared" ca="1" si="3"/>
        <v>T</v>
      </c>
      <c r="P9" s="104" t="str">
        <f t="shared" ca="1" si="3"/>
        <v>F</v>
      </c>
      <c r="Q9" s="104" t="str">
        <f t="shared" ca="1" si="3"/>
        <v>S</v>
      </c>
      <c r="R9" s="104" t="str">
        <f t="shared" ca="1" si="3"/>
        <v>S</v>
      </c>
      <c r="S9" s="104" t="str">
        <f t="shared" ca="1" si="3"/>
        <v>M</v>
      </c>
      <c r="T9" s="104" t="str">
        <f t="shared" ca="1" si="3"/>
        <v>T</v>
      </c>
      <c r="U9" s="104" t="str">
        <f t="shared" ca="1" si="3"/>
        <v>W</v>
      </c>
      <c r="V9" s="104" t="str">
        <f t="shared" ca="1" si="3"/>
        <v>T</v>
      </c>
      <c r="W9" s="104" t="str">
        <f t="shared" ca="1" si="3"/>
        <v>F</v>
      </c>
      <c r="X9" s="104" t="str">
        <f t="shared" ca="1" si="3"/>
        <v>S</v>
      </c>
      <c r="Y9" s="104" t="str">
        <f t="shared" ca="1" si="3"/>
        <v>S</v>
      </c>
      <c r="Z9" s="104" t="str">
        <f t="shared" ca="1" si="3"/>
        <v>M</v>
      </c>
      <c r="AA9" s="104" t="str">
        <f t="shared" ca="1" si="3"/>
        <v>T</v>
      </c>
      <c r="AB9" s="104" t="str">
        <f t="shared" ca="1" si="3"/>
        <v>W</v>
      </c>
      <c r="AC9" s="104" t="str">
        <f t="shared" ca="1" si="3"/>
        <v>T</v>
      </c>
      <c r="AD9" s="104" t="str">
        <f t="shared" ca="1" si="3"/>
        <v>F</v>
      </c>
      <c r="AE9" s="104" t="str">
        <f t="shared" ca="1" si="3"/>
        <v>S</v>
      </c>
      <c r="AF9" s="104" t="str">
        <f t="shared" ca="1" si="3"/>
        <v>S</v>
      </c>
      <c r="AG9" s="104" t="str">
        <f t="shared" ca="1" si="3"/>
        <v>M</v>
      </c>
      <c r="AH9" s="104" t="str">
        <f t="shared" ca="1" si="3"/>
        <v>T</v>
      </c>
      <c r="AI9" s="104" t="str">
        <f t="shared" ca="1" si="3"/>
        <v>W</v>
      </c>
      <c r="AJ9" s="104" t="str">
        <f t="shared" ca="1" si="3"/>
        <v>T</v>
      </c>
      <c r="AK9" s="104" t="str">
        <f t="shared" ca="1" si="3"/>
        <v>F</v>
      </c>
      <c r="AL9" s="104" t="str">
        <f t="shared" ca="1" si="3"/>
        <v>S</v>
      </c>
      <c r="AM9" s="104" t="str">
        <f t="shared" ca="1" si="3"/>
        <v>S</v>
      </c>
      <c r="AN9" s="104" t="str">
        <f t="shared" ca="1" si="3"/>
        <v>M</v>
      </c>
      <c r="AO9" s="104" t="str">
        <f t="shared" ref="AO9:BL9" ca="1" si="4">LEFT(TEXT(AO7,"ddd"),1)</f>
        <v>T</v>
      </c>
      <c r="AP9" s="104" t="str">
        <f t="shared" ca="1" si="4"/>
        <v>W</v>
      </c>
      <c r="AQ9" s="104" t="str">
        <f t="shared" ca="1" si="4"/>
        <v>T</v>
      </c>
      <c r="AR9" s="104" t="str">
        <f t="shared" ca="1" si="4"/>
        <v>F</v>
      </c>
      <c r="AS9" s="104" t="str">
        <f t="shared" ca="1" si="4"/>
        <v>S</v>
      </c>
      <c r="AT9" s="104" t="str">
        <f t="shared" ca="1" si="4"/>
        <v>S</v>
      </c>
      <c r="AU9" s="104" t="str">
        <f t="shared" ca="1" si="4"/>
        <v>M</v>
      </c>
      <c r="AV9" s="104" t="str">
        <f t="shared" ca="1" si="4"/>
        <v>T</v>
      </c>
      <c r="AW9" s="104" t="str">
        <f t="shared" ca="1" si="4"/>
        <v>W</v>
      </c>
      <c r="AX9" s="104" t="str">
        <f t="shared" ca="1" si="4"/>
        <v>T</v>
      </c>
      <c r="AY9" s="104" t="str">
        <f t="shared" ca="1" si="4"/>
        <v>F</v>
      </c>
      <c r="AZ9" s="104" t="str">
        <f t="shared" ca="1" si="4"/>
        <v>S</v>
      </c>
      <c r="BA9" s="104" t="str">
        <f t="shared" ca="1" si="4"/>
        <v>S</v>
      </c>
      <c r="BB9" s="104" t="str">
        <f t="shared" ca="1" si="4"/>
        <v>M</v>
      </c>
      <c r="BC9" s="104" t="str">
        <f t="shared" ca="1" si="4"/>
        <v>T</v>
      </c>
      <c r="BD9" s="104" t="str">
        <f t="shared" ca="1" si="4"/>
        <v>W</v>
      </c>
      <c r="BE9" s="104" t="str">
        <f t="shared" ca="1" si="4"/>
        <v>T</v>
      </c>
      <c r="BF9" s="104" t="str">
        <f t="shared" ca="1" si="4"/>
        <v>F</v>
      </c>
      <c r="BG9" s="104" t="str">
        <f t="shared" ca="1" si="4"/>
        <v>S</v>
      </c>
      <c r="BH9" s="104" t="str">
        <f t="shared" ca="1" si="4"/>
        <v>S</v>
      </c>
      <c r="BI9" s="104" t="str">
        <f t="shared" ca="1" si="4"/>
        <v>M</v>
      </c>
      <c r="BJ9" s="104" t="str">
        <f t="shared" ca="1" si="4"/>
        <v>T</v>
      </c>
      <c r="BK9" s="104" t="str">
        <f t="shared" ca="1" si="4"/>
        <v>W</v>
      </c>
      <c r="BL9" s="104" t="str">
        <f t="shared" ca="1" si="4"/>
        <v>T</v>
      </c>
    </row>
    <row r="10" spans="1:68" ht="30" hidden="1" customHeight="1" thickBot="1" x14ac:dyDescent="0.25">
      <c r="B10" s="134"/>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 customHeight="1" x14ac:dyDescent="0.2">
      <c r="A11" s="10"/>
      <c r="B11" s="129" t="s">
        <v>18</v>
      </c>
      <c r="C11" s="57"/>
      <c r="D11" s="57"/>
      <c r="E11" s="58"/>
      <c r="F11" s="59"/>
      <c r="G11" s="60"/>
      <c r="H11" s="57"/>
      <c r="I11" s="26" t="str">
        <f t="shared" ref="I11:AN11" ca="1" si="5">IF(AND($C11="Goal",I$7&gt;=$F11,I$7&lt;=$F11+$G11-1),2,IF(AND($C11="Milestone",I$7&gt;=$F11,I$7&lt;=$F11+$G11-1),1,""))</f>
        <v/>
      </c>
      <c r="J11" s="26" t="str">
        <f t="shared" ca="1" si="5"/>
        <v/>
      </c>
      <c r="K11" s="26" t="str">
        <f t="shared" ca="1" si="5"/>
        <v/>
      </c>
      <c r="L11" s="26" t="str">
        <f t="shared" ca="1" si="5"/>
        <v/>
      </c>
      <c r="M11" s="26" t="str">
        <f t="shared" ca="1" si="5"/>
        <v/>
      </c>
      <c r="N11" s="26" t="str">
        <f t="shared" ca="1" si="5"/>
        <v/>
      </c>
      <c r="O11" s="26" t="str">
        <f t="shared" ca="1" si="5"/>
        <v/>
      </c>
      <c r="P11" s="26" t="str">
        <f t="shared" ca="1" si="5"/>
        <v/>
      </c>
      <c r="Q11" s="26" t="str">
        <f t="shared" ca="1" si="5"/>
        <v/>
      </c>
      <c r="R11" s="26" t="str">
        <f t="shared" ca="1" si="5"/>
        <v/>
      </c>
      <c r="S11" s="26" t="str">
        <f t="shared" ca="1" si="5"/>
        <v/>
      </c>
      <c r="T11" s="26" t="str">
        <f t="shared" ca="1" si="5"/>
        <v/>
      </c>
      <c r="U11" s="26" t="str">
        <f t="shared" ca="1" si="5"/>
        <v/>
      </c>
      <c r="V11" s="26" t="str">
        <f t="shared" ca="1" si="5"/>
        <v/>
      </c>
      <c r="W11" s="26" t="str">
        <f t="shared" ca="1" si="5"/>
        <v/>
      </c>
      <c r="X11" s="26" t="str">
        <f t="shared" ca="1" si="5"/>
        <v/>
      </c>
      <c r="Y11" s="26" t="str">
        <f t="shared" ca="1" si="5"/>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L11"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ca="1" si="6"/>
        <v/>
      </c>
      <c r="BF11" s="26" t="str">
        <f t="shared" ca="1" si="6"/>
        <v/>
      </c>
      <c r="BG11" s="26" t="str">
        <f t="shared" ca="1" si="6"/>
        <v/>
      </c>
      <c r="BH11" s="26" t="str">
        <f t="shared" ca="1" si="6"/>
        <v/>
      </c>
      <c r="BI11" s="26" t="str">
        <f t="shared" ca="1" si="6"/>
        <v/>
      </c>
      <c r="BJ11" s="26" t="str">
        <f t="shared" ca="1" si="6"/>
        <v/>
      </c>
      <c r="BK11" s="26" t="str">
        <f t="shared" ca="1" si="6"/>
        <v/>
      </c>
      <c r="BL11" s="26" t="str">
        <f t="shared" ca="1" si="6"/>
        <v/>
      </c>
      <c r="BP11" s="40"/>
    </row>
    <row r="12" spans="1:68" s="1" customFormat="1" ht="39" customHeight="1" x14ac:dyDescent="0.2">
      <c r="A12" s="10"/>
      <c r="B12" s="134" t="s">
        <v>19</v>
      </c>
      <c r="C12" s="57" t="s">
        <v>20</v>
      </c>
      <c r="D12" s="57" t="s">
        <v>21</v>
      </c>
      <c r="E12" s="58">
        <v>1</v>
      </c>
      <c r="F12" s="59">
        <v>45902</v>
      </c>
      <c r="G12" s="60">
        <v>2</v>
      </c>
      <c r="H12" s="57"/>
      <c r="I12" s="26" t="str">
        <f ca="1">IF(AND($C12="Goal",I$7&gt;=$F12,I$7&lt;=$F12+$G12-1),2,IF(AND($C12="Milestone",I$7&gt;=$F12,I$7&lt;=$F12+$G12-1),1,""))</f>
        <v/>
      </c>
      <c r="J12" s="26" t="str">
        <f ca="1">IF(AND($C12="Goal",J$7&gt;=$F12,J$7&lt;=$F12+$G12-1),2,IF(AND($C12="Milestone",J$7&gt;=$F12,J$7&lt;=$F12+$G12-1),1,""))</f>
        <v/>
      </c>
      <c r="K12" s="123"/>
      <c r="L12" s="26" t="str">
        <f t="shared" ref="L12:AQ12" ca="1" si="7">IF(AND($C12="Goal",L$7&gt;=$F12,L$7&lt;=$F12+$G12-1),2,IF(AND($C12="Milestone",L$7&gt;=$F12,L$7&lt;=$F12+$G12-1),1,""))</f>
        <v/>
      </c>
      <c r="M12" s="26" t="str">
        <f t="shared" ca="1" si="7"/>
        <v/>
      </c>
      <c r="N12" s="26" t="str">
        <f t="shared" ca="1" si="7"/>
        <v/>
      </c>
      <c r="O12" s="26" t="str">
        <f t="shared" ca="1" si="7"/>
        <v/>
      </c>
      <c r="P12" s="26" t="str">
        <f t="shared" ca="1" si="7"/>
        <v/>
      </c>
      <c r="Q12" s="26" t="str">
        <f t="shared" ca="1" si="7"/>
        <v/>
      </c>
      <c r="R12" s="26" t="str">
        <f t="shared" ca="1" si="7"/>
        <v/>
      </c>
      <c r="S12" s="26" t="str">
        <f t="shared" ca="1" si="7"/>
        <v/>
      </c>
      <c r="T12" s="26" t="str">
        <f t="shared" ca="1" si="7"/>
        <v/>
      </c>
      <c r="U12" s="26" t="str">
        <f t="shared" ca="1" si="7"/>
        <v/>
      </c>
      <c r="V12" s="26" t="str">
        <f t="shared" ca="1" si="7"/>
        <v/>
      </c>
      <c r="W12" s="26" t="str">
        <f t="shared" ca="1" si="7"/>
        <v/>
      </c>
      <c r="X12" s="26" t="str">
        <f t="shared" ca="1" si="7"/>
        <v/>
      </c>
      <c r="Y12" s="26" t="str">
        <f t="shared" ca="1" si="7"/>
        <v/>
      </c>
      <c r="Z12" s="26" t="str">
        <f t="shared" ca="1" si="7"/>
        <v/>
      </c>
      <c r="AA12" s="26" t="str">
        <f t="shared" ca="1" si="7"/>
        <v/>
      </c>
      <c r="AB12" s="26" t="str">
        <f t="shared" ca="1" si="7"/>
        <v/>
      </c>
      <c r="AC12" s="26" t="str">
        <f t="shared" ca="1" si="7"/>
        <v/>
      </c>
      <c r="AD12" s="26" t="str">
        <f t="shared" ca="1" si="7"/>
        <v/>
      </c>
      <c r="AE12" s="26" t="str">
        <f t="shared" ca="1" si="7"/>
        <v/>
      </c>
      <c r="AF12" s="26" t="str">
        <f t="shared" ca="1" si="7"/>
        <v/>
      </c>
      <c r="AG12" s="26" t="str">
        <f t="shared" ca="1" si="7"/>
        <v/>
      </c>
      <c r="AH12" s="26" t="str">
        <f t="shared" ca="1" si="7"/>
        <v/>
      </c>
      <c r="AI12" s="26" t="str">
        <f t="shared" ca="1" si="7"/>
        <v/>
      </c>
      <c r="AJ12" s="26" t="str">
        <f t="shared" ca="1" si="7"/>
        <v/>
      </c>
      <c r="AK12" s="26" t="str">
        <f t="shared" ca="1" si="7"/>
        <v/>
      </c>
      <c r="AL12" s="26" t="str">
        <f t="shared" ca="1" si="7"/>
        <v/>
      </c>
      <c r="AM12" s="26" t="str">
        <f t="shared" ca="1" si="7"/>
        <v/>
      </c>
      <c r="AN12" s="26" t="str">
        <f t="shared" ca="1" si="7"/>
        <v/>
      </c>
      <c r="AO12" s="26" t="str">
        <f t="shared" ca="1" si="7"/>
        <v/>
      </c>
      <c r="AP12" s="26" t="str">
        <f t="shared" ca="1" si="7"/>
        <v/>
      </c>
      <c r="AQ12" s="26" t="str">
        <f t="shared" ca="1" si="7"/>
        <v/>
      </c>
      <c r="AR12" s="26" t="str">
        <f t="shared" ref="AR12:BL12" ca="1" si="8">IF(AND($C12="Goal",AR$7&gt;=$F12,AR$7&lt;=$F12+$G12-1),2,IF(AND($C12="Milestone",AR$7&gt;=$F12,AR$7&lt;=$F12+$G12-1),1,""))</f>
        <v/>
      </c>
      <c r="AS12" s="26" t="str">
        <f t="shared" ca="1" si="8"/>
        <v/>
      </c>
      <c r="AT12" s="26" t="str">
        <f t="shared" ca="1" si="8"/>
        <v/>
      </c>
      <c r="AU12" s="26" t="str">
        <f t="shared" ca="1" si="8"/>
        <v/>
      </c>
      <c r="AV12" s="26" t="str">
        <f t="shared" ca="1" si="8"/>
        <v/>
      </c>
      <c r="AW12" s="26" t="str">
        <f t="shared" ca="1" si="8"/>
        <v/>
      </c>
      <c r="AX12" s="26" t="str">
        <f t="shared" ca="1" si="8"/>
        <v/>
      </c>
      <c r="AY12" s="26" t="str">
        <f t="shared" ca="1" si="8"/>
        <v/>
      </c>
      <c r="AZ12" s="26" t="str">
        <f t="shared" ca="1" si="8"/>
        <v/>
      </c>
      <c r="BA12" s="26" t="str">
        <f t="shared" ca="1" si="8"/>
        <v/>
      </c>
      <c r="BB12" s="26" t="str">
        <f t="shared" ca="1" si="8"/>
        <v/>
      </c>
      <c r="BC12" s="26" t="str">
        <f t="shared" ca="1" si="8"/>
        <v/>
      </c>
      <c r="BD12" s="26" t="str">
        <f t="shared" ca="1" si="8"/>
        <v/>
      </c>
      <c r="BE12" s="26" t="str">
        <f t="shared" ca="1" si="8"/>
        <v/>
      </c>
      <c r="BF12" s="26" t="str">
        <f t="shared" ca="1" si="8"/>
        <v/>
      </c>
      <c r="BG12" s="26" t="str">
        <f t="shared" ca="1" si="8"/>
        <v/>
      </c>
      <c r="BH12" s="26" t="str">
        <f t="shared" ca="1" si="8"/>
        <v/>
      </c>
      <c r="BI12" s="26" t="str">
        <f t="shared" ca="1" si="8"/>
        <v/>
      </c>
      <c r="BJ12" s="26" t="str">
        <f t="shared" ca="1" si="8"/>
        <v/>
      </c>
      <c r="BK12" s="26" t="str">
        <f t="shared" ca="1" si="8"/>
        <v/>
      </c>
      <c r="BL12" s="26" t="str">
        <f t="shared" ca="1" si="8"/>
        <v/>
      </c>
    </row>
    <row r="13" spans="1:68" s="1" customFormat="1" ht="35" customHeight="1" x14ac:dyDescent="0.2">
      <c r="A13" s="10"/>
      <c r="B13" s="134" t="s">
        <v>22</v>
      </c>
      <c r="C13" s="57" t="s">
        <v>23</v>
      </c>
      <c r="D13" s="57" t="s">
        <v>24</v>
      </c>
      <c r="E13" s="58">
        <v>1</v>
      </c>
      <c r="F13" s="59">
        <v>45905</v>
      </c>
      <c r="G13" s="60">
        <v>7</v>
      </c>
      <c r="H13" s="57"/>
      <c r="I13" s="26"/>
      <c r="J13" s="26"/>
      <c r="K13" s="123"/>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row>
    <row r="14" spans="1:68" s="1" customFormat="1" ht="40" customHeight="1" x14ac:dyDescent="0.2">
      <c r="A14" s="9"/>
      <c r="B14" s="134" t="s">
        <v>25</v>
      </c>
      <c r="C14" s="57" t="s">
        <v>23</v>
      </c>
      <c r="D14" s="57" t="s">
        <v>26</v>
      </c>
      <c r="E14" s="58">
        <v>1</v>
      </c>
      <c r="F14" s="59">
        <v>45905</v>
      </c>
      <c r="G14" s="60">
        <v>3</v>
      </c>
      <c r="H14" s="57"/>
      <c r="I14" s="26" t="str">
        <f t="shared" ref="I14:M15" ca="1" si="9">IF(AND($C14="Goal",I$7&gt;=$F14,I$7&lt;=$F14+$G14-1),2,IF(AND($C14="Milestone",I$7&gt;=$F14,I$7&lt;=$F14+$G14-1),1,""))</f>
        <v/>
      </c>
      <c r="J14" s="26" t="str">
        <f t="shared" ca="1" si="9"/>
        <v/>
      </c>
      <c r="K14" s="26" t="str">
        <f t="shared" ca="1" si="9"/>
        <v/>
      </c>
      <c r="L14" s="26" t="str">
        <f t="shared" ca="1" si="9"/>
        <v/>
      </c>
      <c r="M14" s="123" t="str">
        <f t="shared" ca="1" si="9"/>
        <v/>
      </c>
      <c r="N14" s="123"/>
      <c r="O14" s="123" t="str">
        <f ca="1">IF(AND($C14="Goal",O$7&gt;=$F14,O$7&lt;=$F14+$G14-1),2,IF(AND($C14="Milestone",O$7&gt;=$F14,O$7&lt;=$F14+$G14-1),1,""))</f>
        <v/>
      </c>
      <c r="P14" s="124">
        <f>B1</f>
        <v>0</v>
      </c>
      <c r="Q14" s="26" t="str">
        <f t="shared" ref="Q14:BL14" ca="1" si="10">IF(AND($C14="Goal",Q$7&gt;=$F14,Q$7&lt;=$F14+$G14-1),2,IF(AND($C14="Milestone",Q$7&gt;=$F14,Q$7&lt;=$F14+$G14-1),1,""))</f>
        <v/>
      </c>
      <c r="R14" s="26" t="str">
        <f t="shared" ca="1" si="10"/>
        <v/>
      </c>
      <c r="S14" s="26" t="str">
        <f t="shared" ca="1" si="10"/>
        <v/>
      </c>
      <c r="T14" s="26" t="str">
        <f t="shared" ca="1" si="10"/>
        <v/>
      </c>
      <c r="U14" s="26" t="str">
        <f t="shared" ca="1" si="10"/>
        <v/>
      </c>
      <c r="V14" s="26" t="str">
        <f t="shared" ca="1" si="10"/>
        <v/>
      </c>
      <c r="W14" s="26" t="str">
        <f t="shared" ca="1" si="10"/>
        <v/>
      </c>
      <c r="X14" s="26" t="str">
        <f t="shared" ca="1" si="10"/>
        <v/>
      </c>
      <c r="Y14" s="26" t="str">
        <f t="shared" ca="1" si="10"/>
        <v/>
      </c>
      <c r="Z14" s="26" t="str">
        <f t="shared" ca="1" si="10"/>
        <v/>
      </c>
      <c r="AA14" s="26" t="str">
        <f t="shared" ca="1" si="10"/>
        <v/>
      </c>
      <c r="AB14" s="26" t="str">
        <f t="shared" ca="1" si="10"/>
        <v/>
      </c>
      <c r="AC14" s="26" t="str">
        <f t="shared" ca="1" si="10"/>
        <v/>
      </c>
      <c r="AD14" s="26" t="str">
        <f t="shared" ca="1" si="10"/>
        <v/>
      </c>
      <c r="AE14" s="26" t="str">
        <f t="shared" ca="1" si="10"/>
        <v/>
      </c>
      <c r="AF14" s="26" t="str">
        <f t="shared" ca="1" si="10"/>
        <v/>
      </c>
      <c r="AG14" s="26" t="str">
        <f t="shared" ca="1" si="10"/>
        <v/>
      </c>
      <c r="AH14" s="26" t="str">
        <f t="shared" ca="1" si="10"/>
        <v/>
      </c>
      <c r="AI14" s="26" t="str">
        <f t="shared" ca="1" si="10"/>
        <v/>
      </c>
      <c r="AJ14" s="26" t="str">
        <f t="shared" ca="1" si="10"/>
        <v/>
      </c>
      <c r="AK14" s="26" t="str">
        <f t="shared" ca="1" si="10"/>
        <v/>
      </c>
      <c r="AL14" s="26" t="str">
        <f t="shared" ca="1" si="10"/>
        <v/>
      </c>
      <c r="AM14" s="26" t="str">
        <f t="shared" ca="1" si="10"/>
        <v/>
      </c>
      <c r="AN14" s="26" t="str">
        <f t="shared" ca="1" si="10"/>
        <v/>
      </c>
      <c r="AO14" s="26" t="str">
        <f t="shared" ca="1" si="10"/>
        <v/>
      </c>
      <c r="AP14" s="26" t="str">
        <f t="shared" ca="1" si="10"/>
        <v/>
      </c>
      <c r="AQ14" s="26" t="str">
        <f t="shared" ca="1" si="10"/>
        <v/>
      </c>
      <c r="AR14" s="26" t="str">
        <f t="shared" ca="1" si="10"/>
        <v/>
      </c>
      <c r="AS14" s="26" t="str">
        <f t="shared" ca="1" si="10"/>
        <v/>
      </c>
      <c r="AT14" s="26" t="str">
        <f t="shared" ca="1" si="10"/>
        <v/>
      </c>
      <c r="AU14" s="26" t="str">
        <f t="shared" ca="1" si="10"/>
        <v/>
      </c>
      <c r="AV14" s="26" t="str">
        <f t="shared" ca="1" si="10"/>
        <v/>
      </c>
      <c r="AW14" s="26" t="str">
        <f t="shared" ca="1" si="10"/>
        <v/>
      </c>
      <c r="AX14" s="26" t="str">
        <f t="shared" ca="1" si="10"/>
        <v/>
      </c>
      <c r="AY14" s="26" t="str">
        <f t="shared" ca="1" si="10"/>
        <v/>
      </c>
      <c r="AZ14" s="26" t="str">
        <f t="shared" ca="1" si="10"/>
        <v/>
      </c>
      <c r="BA14" s="26" t="str">
        <f t="shared" ca="1" si="10"/>
        <v/>
      </c>
      <c r="BB14" s="26" t="str">
        <f t="shared" ca="1" si="10"/>
        <v/>
      </c>
      <c r="BC14" s="26" t="str">
        <f t="shared" ca="1" si="10"/>
        <v/>
      </c>
      <c r="BD14" s="26" t="str">
        <f t="shared" ca="1" si="10"/>
        <v/>
      </c>
      <c r="BE14" s="26" t="str">
        <f t="shared" ca="1" si="10"/>
        <v/>
      </c>
      <c r="BF14" s="26" t="str">
        <f t="shared" ca="1" si="10"/>
        <v/>
      </c>
      <c r="BG14" s="26" t="str">
        <f t="shared" ca="1" si="10"/>
        <v/>
      </c>
      <c r="BH14" s="26" t="str">
        <f t="shared" ca="1" si="10"/>
        <v/>
      </c>
      <c r="BI14" s="26" t="str">
        <f t="shared" ca="1" si="10"/>
        <v/>
      </c>
      <c r="BJ14" s="26" t="str">
        <f t="shared" ca="1" si="10"/>
        <v/>
      </c>
      <c r="BK14" s="26" t="str">
        <f t="shared" ca="1" si="10"/>
        <v/>
      </c>
      <c r="BL14" s="26" t="str">
        <f t="shared" ca="1" si="10"/>
        <v/>
      </c>
    </row>
    <row r="15" spans="1:68" s="1" customFormat="1" ht="40" customHeight="1" x14ac:dyDescent="0.2">
      <c r="A15" s="9"/>
      <c r="B15" s="134" t="s">
        <v>27</v>
      </c>
      <c r="C15" s="57" t="s">
        <v>20</v>
      </c>
      <c r="D15" s="57" t="s">
        <v>26</v>
      </c>
      <c r="E15" s="58">
        <v>1</v>
      </c>
      <c r="F15" s="59">
        <v>45912</v>
      </c>
      <c r="G15" s="60">
        <v>7</v>
      </c>
      <c r="H15" s="57"/>
      <c r="I15" s="26" t="str">
        <f t="shared" ca="1" si="9"/>
        <v/>
      </c>
      <c r="J15" s="26" t="str">
        <f t="shared" ca="1" si="9"/>
        <v/>
      </c>
      <c r="K15" s="26" t="str">
        <f t="shared" ca="1" si="9"/>
        <v/>
      </c>
      <c r="L15" s="26" t="str">
        <f t="shared" ca="1" si="9"/>
        <v/>
      </c>
      <c r="M15" s="26" t="str">
        <f t="shared" ca="1" si="9"/>
        <v/>
      </c>
      <c r="N15" s="26" t="str">
        <f ca="1">IF(AND($C15="Goal",N$7&gt;=$F15,N$7&lt;=$F15+$G15-1),2,IF(AND($C15="Milestone",N$7&gt;=$F15,N$7&lt;=$F15+$G15-1),1,""))</f>
        <v/>
      </c>
      <c r="O15" s="26" t="str">
        <f ca="1">IF(AND($C15="Goal",O$7&gt;=$F15,O$7&lt;=$F15+$G15-1),2,IF(AND($C15="Milestone",O$7&gt;=$F15,O$7&lt;=$F15+$G15-1),1,""))</f>
        <v/>
      </c>
      <c r="P15" s="123" t="str">
        <f ca="1">IF(AND($C15="Goal",P$7&gt;=$F15,P$7&lt;=$F15+$G15-1),2,IF(AND($C15="Milestone",P$7&gt;=$F15,P$7&lt;=$F15+$G15-1),1,""))</f>
        <v/>
      </c>
      <c r="Q15" s="123" t="str">
        <f ca="1">IF(AND($C15="Goal",Q$7&gt;=$F15,Q$7&lt;=$F15+$G15-1),2,IF(AND($C15="Milestone",Q$7&gt;=$F15,Q$7&lt;=$F15+$G15-1),1,""))</f>
        <v/>
      </c>
      <c r="R15" s="123" t="str">
        <f ca="1">S15</f>
        <v/>
      </c>
      <c r="S15" s="26" t="str">
        <f t="shared" ref="S15:BL15" ca="1" si="11">IF(AND($C15="Goal",S$7&gt;=$F15,S$7&lt;=$F15+$G15-1),2,IF(AND($C15="Milestone",S$7&gt;=$F15,S$7&lt;=$F15+$G15-1),1,""))</f>
        <v/>
      </c>
      <c r="T15" s="26" t="str">
        <f t="shared" ca="1" si="11"/>
        <v/>
      </c>
      <c r="U15" s="26" t="str">
        <f t="shared" ca="1" si="11"/>
        <v/>
      </c>
      <c r="V15" s="26" t="str">
        <f t="shared" ca="1" si="11"/>
        <v/>
      </c>
      <c r="W15" s="26" t="str">
        <f t="shared" ca="1" si="11"/>
        <v/>
      </c>
      <c r="X15" s="26" t="str">
        <f t="shared" ca="1" si="11"/>
        <v/>
      </c>
      <c r="Y15" s="26" t="str">
        <f t="shared" ca="1" si="11"/>
        <v/>
      </c>
      <c r="Z15" s="26" t="str">
        <f t="shared" ca="1" si="11"/>
        <v/>
      </c>
      <c r="AA15" s="26" t="str">
        <f t="shared" ca="1" si="11"/>
        <v/>
      </c>
      <c r="AB15" s="26" t="str">
        <f t="shared" ca="1" si="11"/>
        <v/>
      </c>
      <c r="AC15" s="26" t="str">
        <f t="shared" ca="1" si="11"/>
        <v/>
      </c>
      <c r="AD15" s="26" t="str">
        <f t="shared" ca="1" si="11"/>
        <v/>
      </c>
      <c r="AE15" s="26" t="str">
        <f t="shared" ca="1" si="11"/>
        <v/>
      </c>
      <c r="AF15" s="26" t="str">
        <f t="shared" ca="1" si="11"/>
        <v/>
      </c>
      <c r="AG15" s="26" t="str">
        <f t="shared" ca="1" si="11"/>
        <v/>
      </c>
      <c r="AH15" s="26" t="str">
        <f t="shared" ca="1" si="11"/>
        <v/>
      </c>
      <c r="AI15" s="26" t="str">
        <f t="shared" ca="1" si="11"/>
        <v/>
      </c>
      <c r="AJ15" s="26" t="str">
        <f t="shared" ca="1" si="11"/>
        <v/>
      </c>
      <c r="AK15" s="26" t="str">
        <f t="shared" ca="1" si="11"/>
        <v/>
      </c>
      <c r="AL15" s="26" t="str">
        <f t="shared" ca="1" si="11"/>
        <v/>
      </c>
      <c r="AM15" s="26" t="str">
        <f t="shared" ca="1" si="11"/>
        <v/>
      </c>
      <c r="AN15" s="26" t="str">
        <f t="shared" ca="1" si="11"/>
        <v/>
      </c>
      <c r="AO15" s="26" t="str">
        <f t="shared" ca="1" si="11"/>
        <v/>
      </c>
      <c r="AP15" s="26" t="str">
        <f t="shared" ca="1" si="11"/>
        <v/>
      </c>
      <c r="AQ15" s="26" t="str">
        <f t="shared" ca="1" si="11"/>
        <v/>
      </c>
      <c r="AR15" s="26" t="str">
        <f t="shared" ca="1" si="11"/>
        <v/>
      </c>
      <c r="AS15" s="26" t="str">
        <f t="shared" ca="1" si="11"/>
        <v/>
      </c>
      <c r="AT15" s="26" t="str">
        <f t="shared" ca="1" si="11"/>
        <v/>
      </c>
      <c r="AU15" s="26" t="str">
        <f t="shared" ca="1" si="11"/>
        <v/>
      </c>
      <c r="AV15" s="26" t="str">
        <f t="shared" ca="1" si="11"/>
        <v/>
      </c>
      <c r="AW15" s="26" t="str">
        <f t="shared" ca="1" si="11"/>
        <v/>
      </c>
      <c r="AX15" s="26" t="str">
        <f t="shared" ca="1" si="11"/>
        <v/>
      </c>
      <c r="AY15" s="26" t="str">
        <f t="shared" ca="1" si="11"/>
        <v/>
      </c>
      <c r="AZ15" s="26" t="str">
        <f t="shared" ca="1" si="11"/>
        <v/>
      </c>
      <c r="BA15" s="26" t="str">
        <f t="shared" ca="1" si="11"/>
        <v/>
      </c>
      <c r="BB15" s="26" t="str">
        <f t="shared" ca="1" si="11"/>
        <v/>
      </c>
      <c r="BC15" s="26" t="str">
        <f t="shared" ca="1" si="11"/>
        <v/>
      </c>
      <c r="BD15" s="26" t="str">
        <f t="shared" ca="1" si="11"/>
        <v/>
      </c>
      <c r="BE15" s="26" t="str">
        <f t="shared" ca="1" si="11"/>
        <v/>
      </c>
      <c r="BF15" s="26" t="str">
        <f t="shared" ca="1" si="11"/>
        <v/>
      </c>
      <c r="BG15" s="26" t="str">
        <f t="shared" ca="1" si="11"/>
        <v/>
      </c>
      <c r="BH15" s="26" t="str">
        <f t="shared" ca="1" si="11"/>
        <v/>
      </c>
      <c r="BI15" s="26" t="str">
        <f t="shared" ca="1" si="11"/>
        <v/>
      </c>
      <c r="BJ15" s="26" t="str">
        <f t="shared" ca="1" si="11"/>
        <v/>
      </c>
      <c r="BK15" s="26" t="str">
        <f t="shared" ca="1" si="11"/>
        <v/>
      </c>
      <c r="BL15" s="26" t="str">
        <f t="shared" ca="1" si="11"/>
        <v/>
      </c>
    </row>
    <row r="16" spans="1:68" s="1" customFormat="1" ht="40" customHeight="1" x14ac:dyDescent="0.2">
      <c r="A16" s="9"/>
      <c r="B16" s="134" t="s">
        <v>28</v>
      </c>
      <c r="C16" s="57" t="s">
        <v>23</v>
      </c>
      <c r="D16" s="57" t="s">
        <v>24</v>
      </c>
      <c r="E16" s="58">
        <v>1</v>
      </c>
      <c r="F16" s="59">
        <v>45912</v>
      </c>
      <c r="G16" s="60">
        <v>7</v>
      </c>
      <c r="H16" s="57"/>
      <c r="I16" s="26"/>
      <c r="J16" s="26"/>
      <c r="K16" s="26"/>
      <c r="L16" s="26"/>
      <c r="M16" s="26"/>
      <c r="N16" s="26"/>
      <c r="O16" s="26"/>
      <c r="P16" s="123"/>
      <c r="Q16" s="123"/>
      <c r="R16" s="123"/>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row>
    <row r="17" spans="1:64" s="1" customFormat="1" ht="40" customHeight="1" x14ac:dyDescent="0.2">
      <c r="A17" s="9"/>
      <c r="B17" s="134" t="s">
        <v>29</v>
      </c>
      <c r="C17" s="57" t="s">
        <v>20</v>
      </c>
      <c r="D17" s="57" t="s">
        <v>24</v>
      </c>
      <c r="E17" s="58">
        <v>1</v>
      </c>
      <c r="F17" s="59">
        <v>45912</v>
      </c>
      <c r="G17" s="60">
        <v>7</v>
      </c>
      <c r="H17" s="57"/>
      <c r="I17" s="26" t="str">
        <f t="shared" ref="I17:X19" ca="1" si="12">IF(AND($C17="Goal",I$7&gt;=$F17,I$7&lt;=$F17+$G17-1),2,IF(AND($C17="Milestone",I$7&gt;=$F17,I$7&lt;=$F17+$G17-1),1,""))</f>
        <v/>
      </c>
      <c r="J17" s="26" t="str">
        <f t="shared" ca="1" si="12"/>
        <v/>
      </c>
      <c r="K17" s="26" t="str">
        <f t="shared" ca="1" si="12"/>
        <v/>
      </c>
      <c r="L17" s="26" t="str">
        <f t="shared" ca="1" si="12"/>
        <v/>
      </c>
      <c r="M17" s="26" t="str">
        <f t="shared" ca="1" si="12"/>
        <v/>
      </c>
      <c r="N17" s="26" t="str">
        <f t="shared" ca="1" si="12"/>
        <v/>
      </c>
      <c r="O17" s="26" t="str">
        <f t="shared" ca="1" si="12"/>
        <v/>
      </c>
      <c r="P17" s="26" t="str">
        <f t="shared" ca="1" si="12"/>
        <v/>
      </c>
      <c r="Q17" s="26" t="str">
        <f t="shared" ca="1" si="12"/>
        <v/>
      </c>
      <c r="R17" s="123" t="str">
        <f t="shared" ca="1" si="12"/>
        <v/>
      </c>
      <c r="S17" s="123" t="str">
        <f t="shared" ref="S17:AH19" ca="1" si="13">IF(AND($C17="Goal",S$7&gt;=$F17,S$7&lt;=$F17+$G17-1),2,IF(AND($C17="Milestone",S$7&gt;=$F17,S$7&lt;=$F17+$G17-1),1,""))</f>
        <v/>
      </c>
      <c r="T17" s="123" t="str">
        <f t="shared" ca="1" si="13"/>
        <v/>
      </c>
      <c r="U17" s="26" t="str">
        <f t="shared" ca="1" si="13"/>
        <v/>
      </c>
      <c r="V17" s="26" t="str">
        <f t="shared" ca="1" si="13"/>
        <v/>
      </c>
      <c r="W17" s="26" t="str">
        <f t="shared" ca="1" si="13"/>
        <v/>
      </c>
      <c r="X17" s="26" t="str">
        <f t="shared" ca="1" si="13"/>
        <v/>
      </c>
      <c r="Y17" s="26" t="str">
        <f t="shared" ca="1" si="13"/>
        <v/>
      </c>
      <c r="Z17" s="26" t="str">
        <f t="shared" ca="1" si="13"/>
        <v/>
      </c>
      <c r="AA17" s="26" t="str">
        <f t="shared" ca="1" si="13"/>
        <v/>
      </c>
      <c r="AB17" s="26" t="str">
        <f t="shared" ca="1" si="13"/>
        <v/>
      </c>
      <c r="AC17" s="26" t="str">
        <f t="shared" ref="AC17:AQ19" ca="1" si="14">IF(AND($C17="Goal",AC$7&gt;=$F17,AC$7&lt;=$F17+$G17-1),2,IF(AND($C17="Milestone",AC$7&gt;=$F17,AC$7&lt;=$F17+$G17-1),1,""))</f>
        <v/>
      </c>
      <c r="AD17" s="26" t="str">
        <f t="shared" ca="1" si="14"/>
        <v/>
      </c>
      <c r="AE17" s="26" t="str">
        <f t="shared" ca="1" si="14"/>
        <v/>
      </c>
      <c r="AF17" s="26" t="str">
        <f t="shared" ca="1" si="14"/>
        <v/>
      </c>
      <c r="AG17" s="26" t="str">
        <f t="shared" ca="1" si="14"/>
        <v/>
      </c>
      <c r="AH17" s="26" t="str">
        <f t="shared" ca="1" si="14"/>
        <v/>
      </c>
      <c r="AI17" s="26" t="str">
        <f t="shared" ca="1" si="14"/>
        <v/>
      </c>
      <c r="AJ17" s="26" t="str">
        <f t="shared" ca="1" si="14"/>
        <v/>
      </c>
      <c r="AK17" s="26" t="str">
        <f t="shared" ca="1" si="14"/>
        <v/>
      </c>
      <c r="AL17" s="26" t="str">
        <f t="shared" ca="1" si="14"/>
        <v/>
      </c>
      <c r="AM17" s="26" t="str">
        <f t="shared" ref="AM17:BB19" ca="1" si="15">IF(AND($C17="Goal",AM$7&gt;=$F17,AM$7&lt;=$F17+$G17-1),2,IF(AND($C17="Milestone",AM$7&gt;=$F17,AM$7&lt;=$F17+$G17-1),1,""))</f>
        <v/>
      </c>
      <c r="AN17" s="26" t="str">
        <f t="shared" ca="1" si="15"/>
        <v/>
      </c>
      <c r="AO17" s="26" t="str">
        <f t="shared" ca="1" si="15"/>
        <v/>
      </c>
      <c r="AP17" s="26" t="str">
        <f t="shared" ca="1" si="15"/>
        <v/>
      </c>
      <c r="AQ17" s="26" t="str">
        <f t="shared" ca="1" si="15"/>
        <v/>
      </c>
      <c r="AR17" s="26" t="str">
        <f t="shared" ca="1" si="15"/>
        <v/>
      </c>
      <c r="AS17" s="26" t="str">
        <f t="shared" ca="1" si="15"/>
        <v/>
      </c>
      <c r="AT17" s="26" t="str">
        <f t="shared" ca="1" si="15"/>
        <v/>
      </c>
      <c r="AU17" s="26" t="str">
        <f t="shared" ca="1" si="15"/>
        <v/>
      </c>
      <c r="AV17" s="26" t="str">
        <f t="shared" ca="1" si="15"/>
        <v/>
      </c>
      <c r="AW17" s="26" t="str">
        <f t="shared" ref="AW17:BL19" ca="1" si="16">IF(AND($C17="Goal",AW$7&gt;=$F17,AW$7&lt;=$F17+$G17-1),2,IF(AND($C17="Milestone",AW$7&gt;=$F17,AW$7&lt;=$F17+$G17-1),1,""))</f>
        <v/>
      </c>
      <c r="AX17" s="26" t="str">
        <f t="shared" ca="1" si="16"/>
        <v/>
      </c>
      <c r="AY17" s="26" t="str">
        <f t="shared" ca="1" si="16"/>
        <v/>
      </c>
      <c r="AZ17" s="26" t="str">
        <f t="shared" ca="1" si="16"/>
        <v/>
      </c>
      <c r="BA17" s="26" t="str">
        <f t="shared" ca="1" si="16"/>
        <v/>
      </c>
      <c r="BB17" s="26" t="str">
        <f t="shared" ca="1" si="16"/>
        <v/>
      </c>
      <c r="BC17" s="26" t="str">
        <f t="shared" ca="1" si="16"/>
        <v/>
      </c>
      <c r="BD17" s="26" t="str">
        <f t="shared" ca="1" si="16"/>
        <v/>
      </c>
      <c r="BE17" s="26" t="str">
        <f t="shared" ca="1" si="16"/>
        <v/>
      </c>
      <c r="BF17" s="26" t="str">
        <f t="shared" ca="1" si="16"/>
        <v/>
      </c>
      <c r="BG17" s="26" t="str">
        <f t="shared" ref="BG17:BL17" ca="1" si="17">IF(AND($C17="Goal",BG$7&gt;=$F17,BG$7&lt;=$F17+$G17-1),2,IF(AND($C17="Milestone",BG$7&gt;=$F17,BG$7&lt;=$F17+$G17-1),1,""))</f>
        <v/>
      </c>
      <c r="BH17" s="26" t="str">
        <f t="shared" ca="1" si="17"/>
        <v/>
      </c>
      <c r="BI17" s="26" t="str">
        <f t="shared" ca="1" si="17"/>
        <v/>
      </c>
      <c r="BJ17" s="26" t="str">
        <f t="shared" ca="1" si="17"/>
        <v/>
      </c>
      <c r="BK17" s="26" t="str">
        <f t="shared" ca="1" si="17"/>
        <v/>
      </c>
      <c r="BL17" s="26" t="str">
        <f t="shared" ca="1" si="17"/>
        <v/>
      </c>
    </row>
    <row r="18" spans="1:64" s="1" customFormat="1" ht="40" customHeight="1" x14ac:dyDescent="0.2">
      <c r="A18" s="10"/>
      <c r="B18" s="130" t="s">
        <v>30</v>
      </c>
      <c r="C18" s="57" t="s">
        <v>23</v>
      </c>
      <c r="D18" s="57" t="s">
        <v>26</v>
      </c>
      <c r="E18" s="58">
        <v>1</v>
      </c>
      <c r="F18" s="59">
        <v>45919</v>
      </c>
      <c r="G18" s="60">
        <v>7</v>
      </c>
      <c r="H18" s="57"/>
      <c r="I18" s="26" t="str">
        <f t="shared" ca="1" si="12"/>
        <v/>
      </c>
      <c r="J18" s="26" t="str">
        <f t="shared" ca="1" si="12"/>
        <v/>
      </c>
      <c r="K18" s="26" t="str">
        <f t="shared" ca="1" si="12"/>
        <v/>
      </c>
      <c r="L18" s="26" t="str">
        <f t="shared" ca="1" si="12"/>
        <v/>
      </c>
      <c r="M18" s="26" t="str">
        <f t="shared" ca="1" si="12"/>
        <v/>
      </c>
      <c r="N18" s="26" t="str">
        <f t="shared" ca="1" si="12"/>
        <v/>
      </c>
      <c r="O18" s="26" t="str">
        <f t="shared" ca="1" si="12"/>
        <v/>
      </c>
      <c r="P18" s="26" t="str">
        <f t="shared" ca="1" si="12"/>
        <v/>
      </c>
      <c r="Q18" s="26" t="str">
        <f t="shared" ca="1" si="12"/>
        <v/>
      </c>
      <c r="R18" s="26" t="str">
        <f t="shared" ca="1" si="12"/>
        <v/>
      </c>
      <c r="S18" s="26" t="str">
        <f t="shared" ca="1" si="12"/>
        <v/>
      </c>
      <c r="T18" s="26" t="str">
        <f t="shared" ca="1" si="12"/>
        <v/>
      </c>
      <c r="U18" s="26" t="str">
        <f t="shared" ca="1" si="12"/>
        <v/>
      </c>
      <c r="V18" s="26" t="str">
        <f t="shared" ca="1" si="12"/>
        <v/>
      </c>
      <c r="W18" s="26" t="str">
        <f t="shared" ca="1" si="12"/>
        <v/>
      </c>
      <c r="X18" s="26" t="str">
        <f t="shared" ca="1" si="12"/>
        <v/>
      </c>
      <c r="Y18" s="26" t="str">
        <f t="shared" ca="1" si="13"/>
        <v/>
      </c>
      <c r="Z18" s="26" t="str">
        <f t="shared" ca="1" si="13"/>
        <v/>
      </c>
      <c r="AA18" s="26" t="str">
        <f t="shared" ca="1" si="13"/>
        <v/>
      </c>
      <c r="AB18" s="26" t="str">
        <f t="shared" ca="1" si="13"/>
        <v/>
      </c>
      <c r="AC18" s="26" t="str">
        <f t="shared" ca="1" si="13"/>
        <v/>
      </c>
      <c r="AD18" s="26" t="str">
        <f t="shared" ca="1" si="13"/>
        <v/>
      </c>
      <c r="AE18" s="26" t="str">
        <f t="shared" ca="1" si="13"/>
        <v/>
      </c>
      <c r="AF18" s="26" t="str">
        <f t="shared" ca="1" si="13"/>
        <v/>
      </c>
      <c r="AG18" s="26" t="str">
        <f t="shared" ca="1" si="13"/>
        <v/>
      </c>
      <c r="AH18" s="26" t="str">
        <f t="shared" ca="1" si="13"/>
        <v/>
      </c>
      <c r="AI18" s="26" t="str">
        <f t="shared" ca="1" si="14"/>
        <v/>
      </c>
      <c r="AJ18" s="26" t="str">
        <f t="shared" ca="1" si="14"/>
        <v/>
      </c>
      <c r="AK18" s="26" t="str">
        <f t="shared" ca="1" si="14"/>
        <v/>
      </c>
      <c r="AL18" s="26" t="str">
        <f t="shared" ca="1" si="14"/>
        <v/>
      </c>
      <c r="AM18" s="26" t="str">
        <f t="shared" ca="1" si="14"/>
        <v/>
      </c>
      <c r="AN18" s="26" t="str">
        <f t="shared" ca="1" si="14"/>
        <v/>
      </c>
      <c r="AO18" s="26" t="str">
        <f t="shared" ca="1" si="15"/>
        <v/>
      </c>
      <c r="AP18" s="26" t="str">
        <f t="shared" ca="1" si="15"/>
        <v/>
      </c>
      <c r="AQ18" s="26" t="str">
        <f t="shared" ca="1" si="15"/>
        <v/>
      </c>
      <c r="AR18" s="26" t="str">
        <f t="shared" ca="1" si="15"/>
        <v/>
      </c>
      <c r="AS18" s="26" t="str">
        <f t="shared" ca="1" si="15"/>
        <v/>
      </c>
      <c r="AT18" s="26" t="str">
        <f t="shared" ca="1" si="15"/>
        <v/>
      </c>
      <c r="AU18" s="26" t="str">
        <f t="shared" ca="1" si="15"/>
        <v/>
      </c>
      <c r="AV18" s="26" t="str">
        <f t="shared" ca="1" si="15"/>
        <v/>
      </c>
      <c r="AW18" s="26" t="str">
        <f t="shared" ca="1" si="15"/>
        <v/>
      </c>
      <c r="AX18" s="26" t="str">
        <f t="shared" ca="1" si="15"/>
        <v/>
      </c>
      <c r="AY18" s="26" t="str">
        <f t="shared" ca="1" si="15"/>
        <v/>
      </c>
      <c r="AZ18" s="26" t="str">
        <f t="shared" ca="1" si="15"/>
        <v/>
      </c>
      <c r="BA18" s="26" t="str">
        <f t="shared" ca="1" si="15"/>
        <v/>
      </c>
      <c r="BB18" s="26" t="str">
        <f t="shared" ca="1" si="15"/>
        <v/>
      </c>
      <c r="BC18" s="26" t="str">
        <f t="shared" ca="1" si="16"/>
        <v/>
      </c>
      <c r="BD18" s="26" t="str">
        <f t="shared" ca="1" si="16"/>
        <v/>
      </c>
      <c r="BE18" s="26" t="str">
        <f t="shared" ca="1" si="16"/>
        <v/>
      </c>
      <c r="BF18" s="26" t="str">
        <f t="shared" ca="1" si="16"/>
        <v/>
      </c>
      <c r="BG18" s="26" t="str">
        <f t="shared" ca="1" si="16"/>
        <v/>
      </c>
      <c r="BH18" s="26" t="str">
        <f t="shared" ca="1" si="16"/>
        <v/>
      </c>
      <c r="BI18" s="26" t="str">
        <f t="shared" ca="1" si="16"/>
        <v/>
      </c>
      <c r="BJ18" s="26" t="str">
        <f t="shared" ca="1" si="16"/>
        <v/>
      </c>
      <c r="BK18" s="26" t="str">
        <f t="shared" ca="1" si="16"/>
        <v/>
      </c>
      <c r="BL18" s="26" t="str">
        <f t="shared" ca="1" si="16"/>
        <v/>
      </c>
    </row>
    <row r="19" spans="1:64" s="1" customFormat="1" ht="40" customHeight="1" x14ac:dyDescent="0.2">
      <c r="A19" s="10"/>
      <c r="B19" s="134" t="s">
        <v>31</v>
      </c>
      <c r="C19" s="57" t="s">
        <v>23</v>
      </c>
      <c r="D19" s="57" t="s">
        <v>24</v>
      </c>
      <c r="E19" s="58">
        <v>1</v>
      </c>
      <c r="F19" s="59">
        <v>45919</v>
      </c>
      <c r="G19" s="60">
        <v>7</v>
      </c>
      <c r="H19" s="57"/>
      <c r="I19" s="26" t="str">
        <f t="shared" ca="1" si="12"/>
        <v/>
      </c>
      <c r="J19" s="26" t="str">
        <f t="shared" ca="1" si="12"/>
        <v/>
      </c>
      <c r="K19" s="123"/>
      <c r="L19" s="26" t="str">
        <f t="shared" ca="1" si="12"/>
        <v/>
      </c>
      <c r="M19" s="26" t="str">
        <f t="shared" ca="1" si="12"/>
        <v/>
      </c>
      <c r="N19" s="26" t="str">
        <f t="shared" ca="1" si="12"/>
        <v/>
      </c>
      <c r="O19" s="26" t="str">
        <f t="shared" ca="1" si="12"/>
        <v/>
      </c>
      <c r="P19" s="26" t="str">
        <f t="shared" ca="1" si="12"/>
        <v/>
      </c>
      <c r="Q19" s="26" t="str">
        <f t="shared" ca="1" si="12"/>
        <v/>
      </c>
      <c r="R19" s="26" t="str">
        <f t="shared" ca="1" si="12"/>
        <v/>
      </c>
      <c r="S19" s="26" t="str">
        <f t="shared" ca="1" si="12"/>
        <v/>
      </c>
      <c r="T19" s="26" t="str">
        <f t="shared" ca="1" si="12"/>
        <v/>
      </c>
      <c r="U19" s="26" t="str">
        <f t="shared" ca="1" si="12"/>
        <v/>
      </c>
      <c r="V19" s="26" t="str">
        <f t="shared" ca="1" si="12"/>
        <v/>
      </c>
      <c r="W19" s="26" t="str">
        <f t="shared" ca="1" si="12"/>
        <v/>
      </c>
      <c r="X19" s="26" t="str">
        <f t="shared" ca="1" si="12"/>
        <v/>
      </c>
      <c r="Y19" s="26" t="str">
        <f t="shared" ca="1" si="13"/>
        <v/>
      </c>
      <c r="Z19" s="26" t="str">
        <f t="shared" ca="1" si="13"/>
        <v/>
      </c>
      <c r="AA19" s="26" t="str">
        <f t="shared" ca="1" si="13"/>
        <v/>
      </c>
      <c r="AB19" s="26" t="str">
        <f t="shared" ca="1" si="13"/>
        <v/>
      </c>
      <c r="AC19" s="26" t="str">
        <f t="shared" ca="1" si="13"/>
        <v/>
      </c>
      <c r="AD19" s="26" t="str">
        <f t="shared" ca="1" si="13"/>
        <v/>
      </c>
      <c r="AE19" s="26" t="str">
        <f t="shared" ca="1" si="13"/>
        <v/>
      </c>
      <c r="AF19" s="26" t="str">
        <f t="shared" ca="1" si="13"/>
        <v/>
      </c>
      <c r="AG19" s="26" t="str">
        <f t="shared" ca="1" si="13"/>
        <v/>
      </c>
      <c r="AH19" s="26" t="str">
        <f t="shared" ca="1" si="13"/>
        <v/>
      </c>
      <c r="AI19" s="26" t="str">
        <f t="shared" ca="1" si="14"/>
        <v/>
      </c>
      <c r="AJ19" s="26" t="str">
        <f t="shared" ca="1" si="14"/>
        <v/>
      </c>
      <c r="AK19" s="26" t="str">
        <f t="shared" ca="1" si="14"/>
        <v/>
      </c>
      <c r="AL19" s="26" t="str">
        <f t="shared" ca="1" si="14"/>
        <v/>
      </c>
      <c r="AM19" s="26" t="str">
        <f t="shared" ca="1" si="14"/>
        <v/>
      </c>
      <c r="AN19" s="26" t="str">
        <f t="shared" ca="1" si="14"/>
        <v/>
      </c>
      <c r="AO19" s="26" t="str">
        <f t="shared" ca="1" si="14"/>
        <v/>
      </c>
      <c r="AP19" s="26" t="str">
        <f t="shared" ca="1" si="14"/>
        <v/>
      </c>
      <c r="AQ19" s="26" t="str">
        <f t="shared" ca="1" si="14"/>
        <v/>
      </c>
      <c r="AR19" s="26" t="str">
        <f t="shared" ca="1" si="15"/>
        <v/>
      </c>
      <c r="AS19" s="26" t="str">
        <f t="shared" ca="1" si="15"/>
        <v/>
      </c>
      <c r="AT19" s="26" t="str">
        <f t="shared" ca="1" si="15"/>
        <v/>
      </c>
      <c r="AU19" s="26" t="str">
        <f t="shared" ca="1" si="15"/>
        <v/>
      </c>
      <c r="AV19" s="26" t="str">
        <f t="shared" ca="1" si="15"/>
        <v/>
      </c>
      <c r="AW19" s="26" t="str">
        <f t="shared" ca="1" si="15"/>
        <v/>
      </c>
      <c r="AX19" s="26" t="str">
        <f t="shared" ca="1" si="15"/>
        <v/>
      </c>
      <c r="AY19" s="26" t="str">
        <f t="shared" ca="1" si="15"/>
        <v/>
      </c>
      <c r="AZ19" s="26" t="str">
        <f t="shared" ca="1" si="15"/>
        <v/>
      </c>
      <c r="BA19" s="26" t="str">
        <f t="shared" ca="1" si="15"/>
        <v/>
      </c>
      <c r="BB19" s="26" t="str">
        <f t="shared" ca="1" si="15"/>
        <v/>
      </c>
      <c r="BC19" s="26" t="str">
        <f t="shared" ca="1" si="16"/>
        <v/>
      </c>
      <c r="BD19" s="26" t="str">
        <f t="shared" ca="1" si="16"/>
        <v/>
      </c>
      <c r="BE19" s="26" t="str">
        <f t="shared" ca="1" si="16"/>
        <v/>
      </c>
      <c r="BF19" s="26" t="str">
        <f t="shared" ca="1" si="16"/>
        <v/>
      </c>
      <c r="BG19" s="26" t="str">
        <f t="shared" ca="1" si="16"/>
        <v/>
      </c>
      <c r="BH19" s="26" t="str">
        <f t="shared" ca="1" si="16"/>
        <v/>
      </c>
      <c r="BI19" s="26" t="str">
        <f t="shared" ca="1" si="16"/>
        <v/>
      </c>
      <c r="BJ19" s="26" t="str">
        <f t="shared" ca="1" si="16"/>
        <v/>
      </c>
      <c r="BK19" s="26" t="str">
        <f t="shared" ca="1" si="16"/>
        <v/>
      </c>
      <c r="BL19" s="26" t="str">
        <f t="shared" ca="1" si="16"/>
        <v/>
      </c>
    </row>
    <row r="20" spans="1:64" s="1" customFormat="1" ht="40" customHeight="1" x14ac:dyDescent="0.2">
      <c r="A20" s="9"/>
      <c r="B20" s="134" t="s">
        <v>32</v>
      </c>
      <c r="C20" s="57" t="s">
        <v>23</v>
      </c>
      <c r="D20" s="57" t="s">
        <v>21</v>
      </c>
      <c r="E20" s="58">
        <v>1</v>
      </c>
      <c r="F20" s="59">
        <v>45925</v>
      </c>
      <c r="G20" s="60">
        <v>7</v>
      </c>
      <c r="H20" s="57"/>
      <c r="I20" s="26"/>
      <c r="J20" s="26"/>
      <c r="K20" s="123"/>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row>
    <row r="21" spans="1:64" s="1" customFormat="1" ht="40" customHeight="1" x14ac:dyDescent="0.2">
      <c r="A21" s="9"/>
      <c r="B21" s="134" t="s">
        <v>33</v>
      </c>
      <c r="C21" s="57" t="s">
        <v>20</v>
      </c>
      <c r="D21" s="57" t="s">
        <v>24</v>
      </c>
      <c r="E21" s="58">
        <v>1</v>
      </c>
      <c r="F21" s="59">
        <v>45925</v>
      </c>
      <c r="G21" s="60">
        <v>7</v>
      </c>
      <c r="H21" s="57"/>
      <c r="I21" s="26" t="str">
        <f t="shared" ref="I21:N71" ca="1" si="18">IF(AND($C21="Goal",I$7&gt;=$F21,I$7&lt;=$F21+$G21-1),2,IF(AND($C21="Milestone",I$7&gt;=$F21,I$7&lt;=$F21+$G21-1),1,""))</f>
        <v/>
      </c>
      <c r="J21" s="26" t="str">
        <f t="shared" ca="1" si="18"/>
        <v/>
      </c>
      <c r="K21" s="26" t="str">
        <f t="shared" ca="1" si="18"/>
        <v/>
      </c>
      <c r="L21" s="26" t="str">
        <f t="shared" ca="1" si="18"/>
        <v/>
      </c>
      <c r="M21" s="123" t="str">
        <f t="shared" ca="1" si="18"/>
        <v/>
      </c>
      <c r="N21" s="123"/>
      <c r="O21" s="123" t="str">
        <f t="shared" ref="O21:P22" ca="1" si="19">IF(AND($C21="Goal",O$7&gt;=$F21,O$7&lt;=$F21+$G21-1),2,IF(AND($C21="Milestone",O$7&gt;=$F21,O$7&lt;=$F21+$G21-1),1,""))</f>
        <v/>
      </c>
      <c r="P21" s="124">
        <f t="shared" ref="P21" si="20">B8</f>
        <v>0</v>
      </c>
      <c r="Q21" s="26" t="str">
        <f t="shared" ref="Q21:AF22" ca="1" si="21">IF(AND($C21="Goal",Q$7&gt;=$F21,Q$7&lt;=$F21+$G21-1),2,IF(AND($C21="Milestone",Q$7&gt;=$F21,Q$7&lt;=$F21+$G21-1),1,""))</f>
        <v/>
      </c>
      <c r="R21" s="26" t="str">
        <f t="shared" ca="1" si="21"/>
        <v/>
      </c>
      <c r="S21" s="26" t="str">
        <f t="shared" ca="1" si="21"/>
        <v/>
      </c>
      <c r="T21" s="26" t="str">
        <f t="shared" ca="1" si="21"/>
        <v/>
      </c>
      <c r="U21" s="26" t="str">
        <f t="shared" ca="1" si="21"/>
        <v/>
      </c>
      <c r="V21" s="26" t="str">
        <f t="shared" ca="1" si="21"/>
        <v/>
      </c>
      <c r="W21" s="26" t="str">
        <f t="shared" ca="1" si="21"/>
        <v/>
      </c>
      <c r="X21" s="26" t="str">
        <f t="shared" ca="1" si="21"/>
        <v/>
      </c>
      <c r="Y21" s="26" t="str">
        <f t="shared" ca="1" si="21"/>
        <v/>
      </c>
      <c r="Z21" s="26" t="str">
        <f t="shared" ca="1" si="21"/>
        <v/>
      </c>
      <c r="AA21" s="26" t="str">
        <f t="shared" ca="1" si="21"/>
        <v/>
      </c>
      <c r="AB21" s="26" t="str">
        <f t="shared" ca="1" si="21"/>
        <v/>
      </c>
      <c r="AC21" s="26" t="str">
        <f t="shared" ca="1" si="21"/>
        <v/>
      </c>
      <c r="AD21" s="26" t="str">
        <f t="shared" ca="1" si="21"/>
        <v/>
      </c>
      <c r="AE21" s="26" t="str">
        <f t="shared" ca="1" si="21"/>
        <v/>
      </c>
      <c r="AF21" s="26" t="str">
        <f t="shared" ca="1" si="21"/>
        <v/>
      </c>
      <c r="AG21" s="26" t="str">
        <f t="shared" ref="AG21:AV22" ca="1" si="22">IF(AND($C21="Goal",AG$7&gt;=$F21,AG$7&lt;=$F21+$G21-1),2,IF(AND($C21="Milestone",AG$7&gt;=$F21,AG$7&lt;=$F21+$G21-1),1,""))</f>
        <v/>
      </c>
      <c r="AH21" s="26" t="str">
        <f t="shared" ca="1" si="22"/>
        <v/>
      </c>
      <c r="AI21" s="26" t="str">
        <f t="shared" ca="1" si="22"/>
        <v/>
      </c>
      <c r="AJ21" s="26" t="str">
        <f t="shared" ca="1" si="22"/>
        <v/>
      </c>
      <c r="AK21" s="26" t="str">
        <f t="shared" ca="1" si="22"/>
        <v/>
      </c>
      <c r="AL21" s="26" t="str">
        <f t="shared" ca="1" si="22"/>
        <v/>
      </c>
      <c r="AM21" s="26" t="str">
        <f t="shared" ca="1" si="22"/>
        <v/>
      </c>
      <c r="AN21" s="26" t="str">
        <f t="shared" ca="1" si="22"/>
        <v/>
      </c>
      <c r="AO21" s="26" t="str">
        <f t="shared" ca="1" si="22"/>
        <v/>
      </c>
      <c r="AP21" s="26" t="str">
        <f t="shared" ca="1" si="22"/>
        <v/>
      </c>
      <c r="AQ21" s="26" t="str">
        <f t="shared" ca="1" si="22"/>
        <v/>
      </c>
      <c r="AR21" s="26" t="str">
        <f t="shared" ca="1" si="22"/>
        <v/>
      </c>
      <c r="AS21" s="26" t="str">
        <f t="shared" ca="1" si="22"/>
        <v/>
      </c>
      <c r="AT21" s="26" t="str">
        <f t="shared" ca="1" si="22"/>
        <v/>
      </c>
      <c r="AU21" s="26" t="str">
        <f t="shared" ca="1" si="22"/>
        <v/>
      </c>
      <c r="AV21" s="26" t="str">
        <f t="shared" ca="1" si="22"/>
        <v/>
      </c>
      <c r="AW21" s="26" t="str">
        <f t="shared" ref="AW21:BL22" ca="1" si="23">IF(AND($C21="Goal",AW$7&gt;=$F21,AW$7&lt;=$F21+$G21-1),2,IF(AND($C21="Milestone",AW$7&gt;=$F21,AW$7&lt;=$F21+$G21-1),1,""))</f>
        <v/>
      </c>
      <c r="AX21" s="26" t="str">
        <f t="shared" ca="1" si="23"/>
        <v/>
      </c>
      <c r="AY21" s="26" t="str">
        <f t="shared" ca="1" si="23"/>
        <v/>
      </c>
      <c r="AZ21" s="26" t="str">
        <f t="shared" ca="1" si="23"/>
        <v/>
      </c>
      <c r="BA21" s="26" t="str">
        <f t="shared" ca="1" si="23"/>
        <v/>
      </c>
      <c r="BB21" s="26" t="str">
        <f t="shared" ca="1" si="23"/>
        <v/>
      </c>
      <c r="BC21" s="26" t="str">
        <f t="shared" ca="1" si="23"/>
        <v/>
      </c>
      <c r="BD21" s="26" t="str">
        <f t="shared" ca="1" si="23"/>
        <v/>
      </c>
      <c r="BE21" s="26" t="str">
        <f t="shared" ca="1" si="23"/>
        <v/>
      </c>
      <c r="BF21" s="26" t="str">
        <f t="shared" ca="1" si="23"/>
        <v/>
      </c>
      <c r="BG21" s="26" t="str">
        <f t="shared" ca="1" si="23"/>
        <v/>
      </c>
      <c r="BH21" s="26" t="str">
        <f t="shared" ca="1" si="23"/>
        <v/>
      </c>
      <c r="BI21" s="26" t="str">
        <f t="shared" ca="1" si="23"/>
        <v/>
      </c>
      <c r="BJ21" s="26" t="str">
        <f t="shared" ca="1" si="23"/>
        <v/>
      </c>
      <c r="BK21" s="26" t="str">
        <f t="shared" ca="1" si="23"/>
        <v/>
      </c>
      <c r="BL21" s="26" t="str">
        <f t="shared" ca="1" si="23"/>
        <v/>
      </c>
    </row>
    <row r="22" spans="1:64" s="1" customFormat="1" ht="40" customHeight="1" x14ac:dyDescent="0.2">
      <c r="A22" s="9"/>
      <c r="B22" s="134" t="s">
        <v>34</v>
      </c>
      <c r="C22" s="57" t="s">
        <v>35</v>
      </c>
      <c r="D22" s="57" t="s">
        <v>36</v>
      </c>
      <c r="E22" s="58">
        <v>1</v>
      </c>
      <c r="F22" s="59">
        <v>45940</v>
      </c>
      <c r="G22" s="60">
        <v>7</v>
      </c>
      <c r="H22" s="57"/>
      <c r="I22" s="26" t="str">
        <f t="shared" ca="1" si="18"/>
        <v/>
      </c>
      <c r="J22" s="26" t="str">
        <f t="shared" ca="1" si="18"/>
        <v/>
      </c>
      <c r="K22" s="26" t="str">
        <f t="shared" ca="1" si="18"/>
        <v/>
      </c>
      <c r="L22" s="26" t="str">
        <f t="shared" ca="1" si="18"/>
        <v/>
      </c>
      <c r="M22" s="26" t="str">
        <f t="shared" ca="1" si="18"/>
        <v/>
      </c>
      <c r="N22" s="26" t="str">
        <f t="shared" ca="1" si="18"/>
        <v/>
      </c>
      <c r="O22" s="26" t="str">
        <f t="shared" ca="1" si="19"/>
        <v/>
      </c>
      <c r="P22" s="123" t="str">
        <f t="shared" ca="1" si="19"/>
        <v/>
      </c>
      <c r="Q22" s="123" t="str">
        <f t="shared" ca="1" si="21"/>
        <v/>
      </c>
      <c r="R22" s="123" t="str">
        <f t="shared" ref="R22" ca="1" si="24">S22</f>
        <v/>
      </c>
      <c r="S22" s="26" t="str">
        <f t="shared" ca="1" si="21"/>
        <v/>
      </c>
      <c r="T22" s="26" t="str">
        <f t="shared" ca="1" si="21"/>
        <v/>
      </c>
      <c r="U22" s="26" t="str">
        <f t="shared" ca="1" si="21"/>
        <v/>
      </c>
      <c r="V22" s="26" t="str">
        <f t="shared" ca="1" si="21"/>
        <v/>
      </c>
      <c r="W22" s="26" t="str">
        <f t="shared" ca="1" si="21"/>
        <v/>
      </c>
      <c r="X22" s="26" t="str">
        <f t="shared" ca="1" si="21"/>
        <v/>
      </c>
      <c r="Y22" s="26" t="str">
        <f t="shared" ca="1" si="21"/>
        <v/>
      </c>
      <c r="Z22" s="26" t="str">
        <f t="shared" ca="1" si="21"/>
        <v/>
      </c>
      <c r="AA22" s="26" t="str">
        <f t="shared" ca="1" si="21"/>
        <v/>
      </c>
      <c r="AB22" s="26" t="str">
        <f t="shared" ca="1" si="21"/>
        <v/>
      </c>
      <c r="AC22" s="26" t="str">
        <f t="shared" ca="1" si="21"/>
        <v/>
      </c>
      <c r="AD22" s="26" t="str">
        <f t="shared" ca="1" si="21"/>
        <v/>
      </c>
      <c r="AE22" s="26" t="str">
        <f t="shared" ca="1" si="21"/>
        <v/>
      </c>
      <c r="AF22" s="26" t="str">
        <f t="shared" ca="1" si="21"/>
        <v/>
      </c>
      <c r="AG22" s="26" t="str">
        <f t="shared" ca="1" si="22"/>
        <v/>
      </c>
      <c r="AH22" s="26" t="str">
        <f t="shared" ca="1" si="22"/>
        <v/>
      </c>
      <c r="AI22" s="26" t="str">
        <f t="shared" ca="1" si="22"/>
        <v/>
      </c>
      <c r="AJ22" s="26" t="str">
        <f t="shared" ca="1" si="22"/>
        <v/>
      </c>
      <c r="AK22" s="26" t="str">
        <f t="shared" ca="1" si="22"/>
        <v/>
      </c>
      <c r="AL22" s="26" t="str">
        <f t="shared" ca="1" si="22"/>
        <v/>
      </c>
      <c r="AM22" s="26" t="str">
        <f t="shared" ca="1" si="22"/>
        <v/>
      </c>
      <c r="AN22" s="26" t="str">
        <f t="shared" ca="1" si="22"/>
        <v/>
      </c>
      <c r="AO22" s="26" t="str">
        <f t="shared" ca="1" si="22"/>
        <v/>
      </c>
      <c r="AP22" s="26" t="str">
        <f t="shared" ca="1" si="22"/>
        <v/>
      </c>
      <c r="AQ22" s="26" t="str">
        <f t="shared" ca="1" si="22"/>
        <v/>
      </c>
      <c r="AR22" s="26" t="str">
        <f t="shared" ca="1" si="22"/>
        <v/>
      </c>
      <c r="AS22" s="26" t="str">
        <f t="shared" ca="1" si="22"/>
        <v/>
      </c>
      <c r="AT22" s="26" t="str">
        <f t="shared" ca="1" si="22"/>
        <v/>
      </c>
      <c r="AU22" s="26" t="str">
        <f t="shared" ca="1" si="22"/>
        <v/>
      </c>
      <c r="AV22" s="26" t="str">
        <f t="shared" ca="1" si="22"/>
        <v/>
      </c>
      <c r="AW22" s="26" t="str">
        <f t="shared" ca="1" si="23"/>
        <v/>
      </c>
      <c r="AX22" s="26" t="str">
        <f t="shared" ca="1" si="23"/>
        <v/>
      </c>
      <c r="AY22" s="26" t="str">
        <f t="shared" ca="1" si="23"/>
        <v/>
      </c>
      <c r="AZ22" s="26" t="str">
        <f t="shared" ca="1" si="23"/>
        <v/>
      </c>
      <c r="BA22" s="26" t="str">
        <f t="shared" ca="1" si="23"/>
        <v/>
      </c>
      <c r="BB22" s="26" t="str">
        <f t="shared" ca="1" si="23"/>
        <v/>
      </c>
      <c r="BC22" s="26" t="str">
        <f t="shared" ca="1" si="23"/>
        <v/>
      </c>
      <c r="BD22" s="26" t="str">
        <f t="shared" ca="1" si="23"/>
        <v/>
      </c>
      <c r="BE22" s="26" t="str">
        <f t="shared" ca="1" si="23"/>
        <v/>
      </c>
      <c r="BF22" s="26" t="str">
        <f t="shared" ca="1" si="23"/>
        <v/>
      </c>
      <c r="BG22" s="26" t="str">
        <f t="shared" ca="1" si="23"/>
        <v/>
      </c>
      <c r="BH22" s="26" t="str">
        <f t="shared" ca="1" si="23"/>
        <v/>
      </c>
      <c r="BI22" s="26" t="str">
        <f t="shared" ca="1" si="23"/>
        <v/>
      </c>
      <c r="BJ22" s="26" t="str">
        <f t="shared" ca="1" si="23"/>
        <v/>
      </c>
      <c r="BK22" s="26" t="str">
        <f t="shared" ca="1" si="23"/>
        <v/>
      </c>
      <c r="BL22" s="26" t="str">
        <f t="shared" ca="1" si="23"/>
        <v/>
      </c>
    </row>
    <row r="23" spans="1:64" s="1" customFormat="1" ht="40" customHeight="1" x14ac:dyDescent="0.2">
      <c r="A23" s="9"/>
      <c r="B23" s="134" t="s">
        <v>37</v>
      </c>
      <c r="C23" s="57" t="s">
        <v>23</v>
      </c>
      <c r="D23" s="57" t="s">
        <v>26</v>
      </c>
      <c r="E23" s="58">
        <v>1</v>
      </c>
      <c r="F23" s="59">
        <v>45940</v>
      </c>
      <c r="G23" s="60">
        <v>7</v>
      </c>
      <c r="H23" s="57"/>
      <c r="I23" s="26"/>
      <c r="J23" s="26"/>
      <c r="K23" s="26"/>
      <c r="L23" s="26"/>
      <c r="M23" s="26"/>
      <c r="N23" s="26"/>
      <c r="O23" s="26"/>
      <c r="P23" s="123"/>
      <c r="Q23" s="123"/>
      <c r="R23" s="123"/>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s="1" customFormat="1" ht="40" customHeight="1" x14ac:dyDescent="0.2">
      <c r="A24" s="9"/>
      <c r="B24" s="134" t="s">
        <v>38</v>
      </c>
      <c r="C24" s="57" t="s">
        <v>20</v>
      </c>
      <c r="D24" s="57" t="s">
        <v>36</v>
      </c>
      <c r="E24" s="58">
        <v>1</v>
      </c>
      <c r="F24" s="59">
        <v>45940</v>
      </c>
      <c r="G24" s="60">
        <v>7</v>
      </c>
      <c r="H24" s="57"/>
      <c r="I24" s="26" t="str">
        <f t="shared" ref="I24:X60" ca="1" si="25">IF(AND($C24="Goal",I$7&gt;=$F24,I$7&lt;=$F24+$G24-1),2,IF(AND($C24="Milestone",I$7&gt;=$F24,I$7&lt;=$F24+$G24-1),1,""))</f>
        <v/>
      </c>
      <c r="J24" s="26" t="str">
        <f t="shared" ca="1" si="25"/>
        <v/>
      </c>
      <c r="K24" s="26" t="str">
        <f t="shared" ca="1" si="25"/>
        <v/>
      </c>
      <c r="L24" s="26" t="str">
        <f t="shared" ca="1" si="25"/>
        <v/>
      </c>
      <c r="M24" s="26" t="str">
        <f t="shared" ca="1" si="25"/>
        <v/>
      </c>
      <c r="N24" s="26" t="str">
        <f t="shared" ca="1" si="25"/>
        <v/>
      </c>
      <c r="O24" s="26" t="str">
        <f t="shared" ca="1" si="25"/>
        <v/>
      </c>
      <c r="P24" s="26" t="str">
        <f t="shared" ca="1" si="25"/>
        <v/>
      </c>
      <c r="Q24" s="26" t="str">
        <f t="shared" ca="1" si="25"/>
        <v/>
      </c>
      <c r="R24" s="123" t="str">
        <f t="shared" ca="1" si="25"/>
        <v/>
      </c>
      <c r="S24" s="123" t="str">
        <f t="shared" ca="1" si="25"/>
        <v/>
      </c>
      <c r="T24" s="123" t="str">
        <f t="shared" ca="1" si="25"/>
        <v/>
      </c>
      <c r="U24" s="26" t="str">
        <f t="shared" ca="1" si="25"/>
        <v/>
      </c>
      <c r="V24" s="26" t="str">
        <f t="shared" ca="1" si="25"/>
        <v/>
      </c>
      <c r="W24" s="26" t="str">
        <f t="shared" ca="1" si="25"/>
        <v/>
      </c>
      <c r="X24" s="26" t="str">
        <f t="shared" ca="1" si="25"/>
        <v/>
      </c>
      <c r="Y24" s="26" t="str">
        <f t="shared" ref="Y24:AN73" ca="1" si="26">IF(AND($C24="Goal",Y$7&gt;=$F24,Y$7&lt;=$F24+$G24-1),2,IF(AND($C24="Milestone",Y$7&gt;=$F24,Y$7&lt;=$F24+$G24-1),1,""))</f>
        <v/>
      </c>
      <c r="Z24" s="26" t="str">
        <f t="shared" ca="1" si="26"/>
        <v/>
      </c>
      <c r="AA24" s="26" t="str">
        <f t="shared" ca="1" si="26"/>
        <v/>
      </c>
      <c r="AB24" s="26" t="str">
        <f t="shared" ca="1" si="26"/>
        <v/>
      </c>
      <c r="AC24" s="26" t="str">
        <f t="shared" ca="1" si="26"/>
        <v/>
      </c>
      <c r="AD24" s="26" t="str">
        <f t="shared" ca="1" si="26"/>
        <v/>
      </c>
      <c r="AE24" s="26" t="str">
        <f t="shared" ca="1" si="26"/>
        <v/>
      </c>
      <c r="AF24" s="26" t="str">
        <f t="shared" ca="1" si="26"/>
        <v/>
      </c>
      <c r="AG24" s="26" t="str">
        <f t="shared" ca="1" si="26"/>
        <v/>
      </c>
      <c r="AH24" s="26" t="str">
        <f t="shared" ca="1" si="26"/>
        <v/>
      </c>
      <c r="AI24" s="26" t="str">
        <f t="shared" ca="1" si="26"/>
        <v/>
      </c>
      <c r="AJ24" s="26" t="str">
        <f t="shared" ca="1" si="26"/>
        <v/>
      </c>
      <c r="AK24" s="26" t="str">
        <f t="shared" ca="1" si="26"/>
        <v/>
      </c>
      <c r="AL24" s="26" t="str">
        <f t="shared" ca="1" si="26"/>
        <v/>
      </c>
      <c r="AM24" s="26" t="str">
        <f t="shared" ca="1" si="26"/>
        <v/>
      </c>
      <c r="AN24" s="26" t="str">
        <f t="shared" ca="1" si="26"/>
        <v/>
      </c>
      <c r="AO24" s="26" t="str">
        <f t="shared" ref="AO24:BD26" ca="1" si="27">IF(AND($C24="Goal",AO$7&gt;=$F24,AO$7&lt;=$F24+$G24-1),2,IF(AND($C24="Milestone",AO$7&gt;=$F24,AO$7&lt;=$F24+$G24-1),1,""))</f>
        <v/>
      </c>
      <c r="AP24" s="26" t="str">
        <f t="shared" ca="1" si="27"/>
        <v/>
      </c>
      <c r="AQ24" s="26" t="str">
        <f t="shared" ca="1" si="27"/>
        <v/>
      </c>
      <c r="AR24" s="26" t="str">
        <f t="shared" ca="1" si="27"/>
        <v/>
      </c>
      <c r="AS24" s="26" t="str">
        <f t="shared" ca="1" si="27"/>
        <v/>
      </c>
      <c r="AT24" s="26" t="str">
        <f t="shared" ca="1" si="27"/>
        <v/>
      </c>
      <c r="AU24" s="26" t="str">
        <f t="shared" ca="1" si="27"/>
        <v/>
      </c>
      <c r="AV24" s="26" t="str">
        <f t="shared" ca="1" si="27"/>
        <v/>
      </c>
      <c r="AW24" s="26" t="str">
        <f t="shared" ca="1" si="27"/>
        <v/>
      </c>
      <c r="AX24" s="26" t="str">
        <f t="shared" ca="1" si="27"/>
        <v/>
      </c>
      <c r="AY24" s="26" t="str">
        <f t="shared" ca="1" si="27"/>
        <v/>
      </c>
      <c r="AZ24" s="26" t="str">
        <f t="shared" ca="1" si="27"/>
        <v/>
      </c>
      <c r="BA24" s="26" t="str">
        <f t="shared" ca="1" si="27"/>
        <v/>
      </c>
      <c r="BB24" s="26" t="str">
        <f t="shared" ca="1" si="27"/>
        <v/>
      </c>
      <c r="BC24" s="26" t="str">
        <f t="shared" ca="1" si="27"/>
        <v/>
      </c>
      <c r="BD24" s="26" t="str">
        <f t="shared" ca="1" si="27"/>
        <v/>
      </c>
      <c r="BE24" s="26" t="str">
        <f t="shared" ref="AW24:BL73" ca="1" si="28">IF(AND($C24="Goal",BE$7&gt;=$F24,BE$7&lt;=$F24+$G24-1),2,IF(AND($C24="Milestone",BE$7&gt;=$F24,BE$7&lt;=$F24+$G24-1),1,""))</f>
        <v/>
      </c>
      <c r="BF24" s="26" t="str">
        <f t="shared" ca="1" si="28"/>
        <v/>
      </c>
      <c r="BG24" s="26" t="str">
        <f t="shared" ca="1" si="28"/>
        <v/>
      </c>
      <c r="BH24" s="26" t="str">
        <f t="shared" ca="1" si="28"/>
        <v/>
      </c>
      <c r="BI24" s="26" t="str">
        <f t="shared" ca="1" si="28"/>
        <v/>
      </c>
      <c r="BJ24" s="26" t="str">
        <f t="shared" ca="1" si="28"/>
        <v/>
      </c>
      <c r="BK24" s="26" t="str">
        <f t="shared" ca="1" si="28"/>
        <v/>
      </c>
      <c r="BL24" s="26" t="str">
        <f t="shared" ca="1" si="28"/>
        <v/>
      </c>
    </row>
    <row r="25" spans="1:64" s="1" customFormat="1" ht="40" customHeight="1" x14ac:dyDescent="0.2">
      <c r="A25" s="9"/>
      <c r="B25" s="134" t="s">
        <v>39</v>
      </c>
      <c r="C25" s="57" t="s">
        <v>20</v>
      </c>
      <c r="D25" s="57" t="s">
        <v>26</v>
      </c>
      <c r="E25" s="58">
        <v>1</v>
      </c>
      <c r="F25" s="59">
        <v>45940</v>
      </c>
      <c r="G25" s="60">
        <v>5</v>
      </c>
      <c r="H25" s="57"/>
      <c r="I25" s="26" t="str">
        <f t="shared" ca="1" si="25"/>
        <v/>
      </c>
      <c r="J25" s="26" t="str">
        <f t="shared" ca="1" si="25"/>
        <v/>
      </c>
      <c r="K25" s="26" t="str">
        <f t="shared" ca="1" si="25"/>
        <v/>
      </c>
      <c r="L25" s="26" t="str">
        <f t="shared" ca="1" si="25"/>
        <v/>
      </c>
      <c r="M25" s="26" t="str">
        <f t="shared" ca="1" si="25"/>
        <v/>
      </c>
      <c r="N25" s="26" t="str">
        <f t="shared" ca="1" si="25"/>
        <v/>
      </c>
      <c r="O25" s="26" t="str">
        <f t="shared" ca="1" si="25"/>
        <v/>
      </c>
      <c r="P25" s="26" t="str">
        <f t="shared" ca="1" si="25"/>
        <v/>
      </c>
      <c r="Q25" s="26" t="str">
        <f t="shared" ca="1" si="25"/>
        <v/>
      </c>
      <c r="R25" s="26" t="str">
        <f t="shared" ca="1" si="25"/>
        <v/>
      </c>
      <c r="S25" s="26" t="str">
        <f t="shared" ca="1" si="25"/>
        <v/>
      </c>
      <c r="T25" s="26" t="str">
        <f t="shared" ca="1" si="25"/>
        <v/>
      </c>
      <c r="U25" s="26" t="str">
        <f t="shared" ca="1" si="25"/>
        <v/>
      </c>
      <c r="V25" s="26" t="str">
        <f t="shared" ca="1" si="25"/>
        <v/>
      </c>
      <c r="W25" s="26" t="str">
        <f t="shared" ca="1" si="25"/>
        <v/>
      </c>
      <c r="X25" s="26" t="str">
        <f t="shared" ca="1" si="25"/>
        <v/>
      </c>
      <c r="Y25" s="26" t="str">
        <f t="shared" ca="1" si="26"/>
        <v/>
      </c>
      <c r="Z25" s="26" t="str">
        <f t="shared" ca="1" si="26"/>
        <v/>
      </c>
      <c r="AA25" s="26" t="str">
        <f t="shared" ca="1" si="26"/>
        <v/>
      </c>
      <c r="AB25" s="26" t="str">
        <f t="shared" ca="1" si="26"/>
        <v/>
      </c>
      <c r="AC25" s="26" t="str">
        <f t="shared" ca="1" si="26"/>
        <v/>
      </c>
      <c r="AD25" s="26" t="str">
        <f t="shared" ca="1" si="26"/>
        <v/>
      </c>
      <c r="AE25" s="26" t="str">
        <f t="shared" ca="1" si="26"/>
        <v/>
      </c>
      <c r="AF25" s="26" t="str">
        <f t="shared" ca="1" si="26"/>
        <v/>
      </c>
      <c r="AG25" s="26" t="str">
        <f t="shared" ca="1" si="26"/>
        <v/>
      </c>
      <c r="AH25" s="26" t="str">
        <f t="shared" ca="1" si="26"/>
        <v/>
      </c>
      <c r="AI25" s="26" t="str">
        <f t="shared" ca="1" si="26"/>
        <v/>
      </c>
      <c r="AJ25" s="26" t="str">
        <f t="shared" ca="1" si="26"/>
        <v/>
      </c>
      <c r="AK25" s="26" t="str">
        <f t="shared" ca="1" si="26"/>
        <v/>
      </c>
      <c r="AL25" s="26" t="str">
        <f t="shared" ca="1" si="26"/>
        <v/>
      </c>
      <c r="AM25" s="26" t="str">
        <f t="shared" ca="1" si="26"/>
        <v/>
      </c>
      <c r="AN25" s="26" t="str">
        <f t="shared" ca="1" si="26"/>
        <v/>
      </c>
      <c r="AO25" s="26" t="str">
        <f t="shared" ca="1" si="27"/>
        <v/>
      </c>
      <c r="AP25" s="26" t="str">
        <f t="shared" ca="1" si="27"/>
        <v/>
      </c>
      <c r="AQ25" s="26" t="str">
        <f t="shared" ca="1" si="27"/>
        <v/>
      </c>
      <c r="AR25" s="26" t="str">
        <f t="shared" ca="1" si="27"/>
        <v/>
      </c>
      <c r="AS25" s="26" t="str">
        <f t="shared" ca="1" si="27"/>
        <v/>
      </c>
      <c r="AT25" s="26" t="str">
        <f t="shared" ca="1" si="27"/>
        <v/>
      </c>
      <c r="AU25" s="26" t="str">
        <f t="shared" ca="1" si="27"/>
        <v/>
      </c>
      <c r="AV25" s="26" t="str">
        <f t="shared" ca="1" si="27"/>
        <v/>
      </c>
      <c r="AW25" s="26" t="str">
        <f t="shared" ca="1" si="27"/>
        <v/>
      </c>
      <c r="AX25" s="26" t="str">
        <f t="shared" ca="1" si="27"/>
        <v/>
      </c>
      <c r="AY25" s="26" t="str">
        <f t="shared" ca="1" si="27"/>
        <v/>
      </c>
      <c r="AZ25" s="26" t="str">
        <f t="shared" ca="1" si="27"/>
        <v/>
      </c>
      <c r="BA25" s="26" t="str">
        <f t="shared" ca="1" si="27"/>
        <v/>
      </c>
      <c r="BB25" s="26" t="str">
        <f t="shared" ca="1" si="27"/>
        <v/>
      </c>
      <c r="BC25" s="26" t="str">
        <f t="shared" ca="1" si="27"/>
        <v/>
      </c>
      <c r="BD25" s="26" t="str">
        <f t="shared" ca="1" si="27"/>
        <v/>
      </c>
      <c r="BE25" s="26" t="str">
        <f t="shared" ca="1" si="28"/>
        <v/>
      </c>
      <c r="BF25" s="26" t="str">
        <f t="shared" ca="1" si="28"/>
        <v/>
      </c>
      <c r="BG25" s="26" t="str">
        <f t="shared" ca="1" si="28"/>
        <v/>
      </c>
      <c r="BH25" s="26" t="str">
        <f t="shared" ca="1" si="28"/>
        <v/>
      </c>
      <c r="BI25" s="26" t="str">
        <f t="shared" ca="1" si="28"/>
        <v/>
      </c>
      <c r="BJ25" s="26" t="str">
        <f t="shared" ca="1" si="28"/>
        <v/>
      </c>
      <c r="BK25" s="26" t="str">
        <f t="shared" ca="1" si="28"/>
        <v/>
      </c>
      <c r="BL25" s="26" t="str">
        <f t="shared" ca="1" si="28"/>
        <v/>
      </c>
    </row>
    <row r="26" spans="1:64" s="1" customFormat="1" ht="40" customHeight="1" x14ac:dyDescent="0.2">
      <c r="A26" s="9"/>
      <c r="B26" s="134" t="s">
        <v>40</v>
      </c>
      <c r="C26" s="57" t="s">
        <v>20</v>
      </c>
      <c r="D26" s="57" t="s">
        <v>36</v>
      </c>
      <c r="E26" s="58">
        <v>1</v>
      </c>
      <c r="F26" s="59">
        <v>45940</v>
      </c>
      <c r="G26" s="60">
        <v>5</v>
      </c>
      <c r="H26" s="57"/>
      <c r="I26" s="26" t="str">
        <f t="shared" ca="1" si="25"/>
        <v/>
      </c>
      <c r="J26" s="26" t="str">
        <f t="shared" ca="1" si="25"/>
        <v/>
      </c>
      <c r="K26" s="123"/>
      <c r="L26" s="26" t="str">
        <f t="shared" ca="1" si="25"/>
        <v/>
      </c>
      <c r="M26" s="26" t="str">
        <f t="shared" ca="1" si="25"/>
        <v/>
      </c>
      <c r="N26" s="26" t="str">
        <f t="shared" ca="1" si="25"/>
        <v/>
      </c>
      <c r="O26" s="26" t="str">
        <f t="shared" ca="1" si="25"/>
        <v/>
      </c>
      <c r="P26" s="26" t="str">
        <f t="shared" ca="1" si="25"/>
        <v/>
      </c>
      <c r="Q26" s="26" t="str">
        <f t="shared" ca="1" si="25"/>
        <v/>
      </c>
      <c r="R26" s="26" t="str">
        <f t="shared" ca="1" si="25"/>
        <v/>
      </c>
      <c r="S26" s="26" t="str">
        <f t="shared" ca="1" si="25"/>
        <v/>
      </c>
      <c r="T26" s="26" t="str">
        <f t="shared" ca="1" si="25"/>
        <v/>
      </c>
      <c r="U26" s="26" t="str">
        <f t="shared" ca="1" si="25"/>
        <v/>
      </c>
      <c r="V26" s="26" t="str">
        <f t="shared" ca="1" si="25"/>
        <v/>
      </c>
      <c r="W26" s="26" t="str">
        <f t="shared" ca="1" si="25"/>
        <v/>
      </c>
      <c r="X26" s="26" t="str">
        <f t="shared" ca="1" si="25"/>
        <v/>
      </c>
      <c r="Y26" s="26" t="str">
        <f t="shared" ca="1" si="26"/>
        <v/>
      </c>
      <c r="Z26" s="26" t="str">
        <f t="shared" ca="1" si="26"/>
        <v/>
      </c>
      <c r="AA26" s="26" t="str">
        <f t="shared" ca="1" si="26"/>
        <v/>
      </c>
      <c r="AB26" s="26" t="str">
        <f t="shared" ca="1" si="26"/>
        <v/>
      </c>
      <c r="AC26" s="26" t="str">
        <f t="shared" ca="1" si="26"/>
        <v/>
      </c>
      <c r="AD26" s="26" t="str">
        <f t="shared" ca="1" si="26"/>
        <v/>
      </c>
      <c r="AE26" s="26" t="str">
        <f t="shared" ca="1" si="26"/>
        <v/>
      </c>
      <c r="AF26" s="26" t="str">
        <f t="shared" ca="1" si="26"/>
        <v/>
      </c>
      <c r="AG26" s="26" t="str">
        <f t="shared" ca="1" si="26"/>
        <v/>
      </c>
      <c r="AH26" s="26" t="str">
        <f t="shared" ca="1" si="26"/>
        <v/>
      </c>
      <c r="AI26" s="26" t="str">
        <f t="shared" ca="1" si="26"/>
        <v/>
      </c>
      <c r="AJ26" s="26" t="str">
        <f t="shared" ca="1" si="26"/>
        <v/>
      </c>
      <c r="AK26" s="26" t="str">
        <f t="shared" ca="1" si="26"/>
        <v/>
      </c>
      <c r="AL26" s="26" t="str">
        <f t="shared" ca="1" si="26"/>
        <v/>
      </c>
      <c r="AM26" s="26" t="str">
        <f t="shared" ca="1" si="26"/>
        <v/>
      </c>
      <c r="AN26" s="26" t="str">
        <f t="shared" ca="1" si="26"/>
        <v/>
      </c>
      <c r="AO26" s="26" t="str">
        <f t="shared" ca="1" si="27"/>
        <v/>
      </c>
      <c r="AP26" s="26" t="str">
        <f t="shared" ca="1" si="27"/>
        <v/>
      </c>
      <c r="AQ26" s="26" t="str">
        <f t="shared" ca="1" si="27"/>
        <v/>
      </c>
      <c r="AR26" s="26" t="str">
        <f t="shared" ca="1" si="27"/>
        <v/>
      </c>
      <c r="AS26" s="26" t="str">
        <f t="shared" ca="1" si="27"/>
        <v/>
      </c>
      <c r="AT26" s="26" t="str">
        <f t="shared" ca="1" si="27"/>
        <v/>
      </c>
      <c r="AU26" s="26" t="str">
        <f t="shared" ca="1" si="27"/>
        <v/>
      </c>
      <c r="AV26" s="26" t="str">
        <f t="shared" ca="1" si="27"/>
        <v/>
      </c>
      <c r="AW26" s="26" t="str">
        <f t="shared" ca="1" si="27"/>
        <v/>
      </c>
      <c r="AX26" s="26" t="str">
        <f t="shared" ca="1" si="27"/>
        <v/>
      </c>
      <c r="AY26" s="26" t="str">
        <f t="shared" ca="1" si="27"/>
        <v/>
      </c>
      <c r="AZ26" s="26" t="str">
        <f t="shared" ca="1" si="27"/>
        <v/>
      </c>
      <c r="BA26" s="26" t="str">
        <f t="shared" ca="1" si="27"/>
        <v/>
      </c>
      <c r="BB26" s="26" t="str">
        <f t="shared" ca="1" si="27"/>
        <v/>
      </c>
      <c r="BC26" s="26" t="str">
        <f t="shared" ca="1" si="27"/>
        <v/>
      </c>
      <c r="BD26" s="26" t="str">
        <f t="shared" ca="1" si="27"/>
        <v/>
      </c>
      <c r="BE26" s="26" t="str">
        <f t="shared" ca="1" si="28"/>
        <v/>
      </c>
      <c r="BF26" s="26" t="str">
        <f t="shared" ca="1" si="28"/>
        <v/>
      </c>
      <c r="BG26" s="26" t="str">
        <f t="shared" ca="1" si="28"/>
        <v/>
      </c>
      <c r="BH26" s="26" t="str">
        <f t="shared" ca="1" si="28"/>
        <v/>
      </c>
      <c r="BI26" s="26" t="str">
        <f t="shared" ca="1" si="28"/>
        <v/>
      </c>
      <c r="BJ26" s="26" t="str">
        <f t="shared" ca="1" si="28"/>
        <v/>
      </c>
      <c r="BK26" s="26" t="str">
        <f t="shared" ca="1" si="28"/>
        <v/>
      </c>
      <c r="BL26" s="26" t="str">
        <f t="shared" ca="1" si="28"/>
        <v/>
      </c>
    </row>
    <row r="27" spans="1:64" s="1" customFormat="1" ht="40" customHeight="1" x14ac:dyDescent="0.2">
      <c r="A27" s="9"/>
      <c r="B27" s="134" t="s">
        <v>41</v>
      </c>
      <c r="C27" s="57" t="s">
        <v>20</v>
      </c>
      <c r="D27" s="57" t="s">
        <v>24</v>
      </c>
      <c r="E27" s="58">
        <v>1</v>
      </c>
      <c r="F27" s="59">
        <v>45931</v>
      </c>
      <c r="G27" s="60">
        <v>5</v>
      </c>
      <c r="H27" s="57"/>
      <c r="I27" s="26"/>
      <c r="J27" s="26"/>
      <c r="K27" s="123"/>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row>
    <row r="28" spans="1:64" s="1" customFormat="1" ht="40" customHeight="1" x14ac:dyDescent="0.2">
      <c r="A28" s="9"/>
      <c r="B28" s="134" t="s">
        <v>42</v>
      </c>
      <c r="C28" s="57" t="s">
        <v>20</v>
      </c>
      <c r="D28" s="57" t="s">
        <v>24</v>
      </c>
      <c r="E28" s="58">
        <v>1</v>
      </c>
      <c r="F28" s="59">
        <v>45931</v>
      </c>
      <c r="G28" s="60">
        <v>5</v>
      </c>
      <c r="H28" s="57"/>
      <c r="I28" s="26" t="str">
        <f t="shared" ca="1" si="18"/>
        <v/>
      </c>
      <c r="J28" s="26" t="str">
        <f t="shared" ca="1" si="18"/>
        <v/>
      </c>
      <c r="K28" s="26" t="str">
        <f t="shared" ca="1" si="18"/>
        <v/>
      </c>
      <c r="L28" s="26" t="str">
        <f t="shared" ca="1" si="18"/>
        <v/>
      </c>
      <c r="M28" s="123" t="str">
        <f t="shared" ca="1" si="18"/>
        <v/>
      </c>
      <c r="N28" s="123"/>
      <c r="O28" s="123" t="str">
        <f t="shared" ref="O28:P29" ca="1" si="29">IF(AND($C28="Goal",O$7&gt;=$F28,O$7&lt;=$F28+$G28-1),2,IF(AND($C28="Milestone",O$7&gt;=$F28,O$7&lt;=$F28+$G28-1),1,""))</f>
        <v/>
      </c>
      <c r="P28" s="124" t="str">
        <f t="shared" ref="P28" si="30">B15</f>
        <v>User recipe uploading page design</v>
      </c>
      <c r="Q28" s="26" t="str">
        <f t="shared" ref="Q28:AF29" ca="1" si="31">IF(AND($C28="Goal",Q$7&gt;=$F28,Q$7&lt;=$F28+$G28-1),2,IF(AND($C28="Milestone",Q$7&gt;=$F28,Q$7&lt;=$F28+$G28-1),1,""))</f>
        <v/>
      </c>
      <c r="R28" s="26" t="str">
        <f t="shared" ca="1" si="31"/>
        <v/>
      </c>
      <c r="S28" s="26" t="str">
        <f t="shared" ca="1" si="31"/>
        <v/>
      </c>
      <c r="T28" s="26" t="str">
        <f t="shared" ca="1" si="31"/>
        <v/>
      </c>
      <c r="U28" s="26" t="str">
        <f t="shared" ca="1" si="31"/>
        <v/>
      </c>
      <c r="V28" s="26" t="str">
        <f t="shared" ca="1" si="31"/>
        <v/>
      </c>
      <c r="W28" s="26" t="str">
        <f t="shared" ca="1" si="31"/>
        <v/>
      </c>
      <c r="X28" s="26" t="str">
        <f t="shared" ca="1" si="31"/>
        <v/>
      </c>
      <c r="Y28" s="26" t="str">
        <f t="shared" ca="1" si="31"/>
        <v/>
      </c>
      <c r="Z28" s="26" t="str">
        <f t="shared" ca="1" si="31"/>
        <v/>
      </c>
      <c r="AA28" s="26" t="str">
        <f t="shared" ca="1" si="31"/>
        <v/>
      </c>
      <c r="AB28" s="26" t="str">
        <f t="shared" ca="1" si="31"/>
        <v/>
      </c>
      <c r="AC28" s="26" t="str">
        <f t="shared" ca="1" si="31"/>
        <v/>
      </c>
      <c r="AD28" s="26" t="str">
        <f t="shared" ca="1" si="31"/>
        <v/>
      </c>
      <c r="AE28" s="26" t="str">
        <f t="shared" ca="1" si="31"/>
        <v/>
      </c>
      <c r="AF28" s="26" t="str">
        <f t="shared" ca="1" si="31"/>
        <v/>
      </c>
      <c r="AG28" s="26" t="str">
        <f t="shared" ref="AG28:AV29" ca="1" si="32">IF(AND($C28="Goal",AG$7&gt;=$F28,AG$7&lt;=$F28+$G28-1),2,IF(AND($C28="Milestone",AG$7&gt;=$F28,AG$7&lt;=$F28+$G28-1),1,""))</f>
        <v/>
      </c>
      <c r="AH28" s="26" t="str">
        <f t="shared" ca="1" si="32"/>
        <v/>
      </c>
      <c r="AI28" s="26" t="str">
        <f t="shared" ca="1" si="32"/>
        <v/>
      </c>
      <c r="AJ28" s="26" t="str">
        <f t="shared" ca="1" si="32"/>
        <v/>
      </c>
      <c r="AK28" s="26" t="str">
        <f t="shared" ca="1" si="32"/>
        <v/>
      </c>
      <c r="AL28" s="26" t="str">
        <f t="shared" ca="1" si="32"/>
        <v/>
      </c>
      <c r="AM28" s="26" t="str">
        <f t="shared" ca="1" si="32"/>
        <v/>
      </c>
      <c r="AN28" s="26" t="str">
        <f t="shared" ca="1" si="32"/>
        <v/>
      </c>
      <c r="AO28" s="26" t="str">
        <f t="shared" ca="1" si="32"/>
        <v/>
      </c>
      <c r="AP28" s="26" t="str">
        <f t="shared" ca="1" si="32"/>
        <v/>
      </c>
      <c r="AQ28" s="26" t="str">
        <f t="shared" ca="1" si="32"/>
        <v/>
      </c>
      <c r="AR28" s="26" t="str">
        <f t="shared" ca="1" si="32"/>
        <v/>
      </c>
      <c r="AS28" s="26" t="str">
        <f t="shared" ca="1" si="32"/>
        <v/>
      </c>
      <c r="AT28" s="26" t="str">
        <f t="shared" ca="1" si="32"/>
        <v/>
      </c>
      <c r="AU28" s="26" t="str">
        <f t="shared" ca="1" si="32"/>
        <v/>
      </c>
      <c r="AV28" s="26" t="str">
        <f t="shared" ca="1" si="32"/>
        <v/>
      </c>
      <c r="AW28" s="26" t="str">
        <f t="shared" ref="AW28:BL29" ca="1" si="33">IF(AND($C28="Goal",AW$7&gt;=$F28,AW$7&lt;=$F28+$G28-1),2,IF(AND($C28="Milestone",AW$7&gt;=$F28,AW$7&lt;=$F28+$G28-1),1,""))</f>
        <v/>
      </c>
      <c r="AX28" s="26" t="str">
        <f t="shared" ca="1" si="33"/>
        <v/>
      </c>
      <c r="AY28" s="26" t="str">
        <f t="shared" ca="1" si="33"/>
        <v/>
      </c>
      <c r="AZ28" s="26" t="str">
        <f t="shared" ca="1" si="33"/>
        <v/>
      </c>
      <c r="BA28" s="26" t="str">
        <f t="shared" ca="1" si="33"/>
        <v/>
      </c>
      <c r="BB28" s="26" t="str">
        <f t="shared" ca="1" si="33"/>
        <v/>
      </c>
      <c r="BC28" s="26" t="str">
        <f t="shared" ca="1" si="33"/>
        <v/>
      </c>
      <c r="BD28" s="26" t="str">
        <f t="shared" ca="1" si="33"/>
        <v/>
      </c>
      <c r="BE28" s="26" t="str">
        <f t="shared" ca="1" si="33"/>
        <v/>
      </c>
      <c r="BF28" s="26" t="str">
        <f t="shared" ca="1" si="33"/>
        <v/>
      </c>
      <c r="BG28" s="26" t="str">
        <f t="shared" ca="1" si="33"/>
        <v/>
      </c>
      <c r="BH28" s="26" t="str">
        <f t="shared" ca="1" si="33"/>
        <v/>
      </c>
      <c r="BI28" s="26" t="str">
        <f t="shared" ca="1" si="33"/>
        <v/>
      </c>
      <c r="BJ28" s="26" t="str">
        <f t="shared" ca="1" si="33"/>
        <v/>
      </c>
      <c r="BK28" s="26" t="str">
        <f t="shared" ca="1" si="33"/>
        <v/>
      </c>
      <c r="BL28" s="26" t="str">
        <f t="shared" ca="1" si="33"/>
        <v/>
      </c>
    </row>
    <row r="29" spans="1:64" s="1" customFormat="1" ht="40" customHeight="1" x14ac:dyDescent="0.2">
      <c r="A29" s="9"/>
      <c r="B29" s="134" t="s">
        <v>43</v>
      </c>
      <c r="C29" s="57" t="s">
        <v>35</v>
      </c>
      <c r="D29" s="57" t="s">
        <v>26</v>
      </c>
      <c r="E29" s="58">
        <v>1</v>
      </c>
      <c r="F29" s="59">
        <v>45931</v>
      </c>
      <c r="G29" s="60">
        <v>7</v>
      </c>
      <c r="H29" s="57"/>
      <c r="I29" s="26" t="str">
        <f t="shared" ca="1" si="18"/>
        <v/>
      </c>
      <c r="J29" s="26" t="str">
        <f t="shared" ca="1" si="18"/>
        <v/>
      </c>
      <c r="K29" s="26" t="str">
        <f t="shared" ca="1" si="18"/>
        <v/>
      </c>
      <c r="L29" s="26" t="str">
        <f t="shared" ca="1" si="18"/>
        <v/>
      </c>
      <c r="M29" s="26" t="str">
        <f t="shared" ca="1" si="18"/>
        <v/>
      </c>
      <c r="N29" s="26" t="str">
        <f t="shared" ca="1" si="18"/>
        <v/>
      </c>
      <c r="O29" s="26" t="str">
        <f t="shared" ca="1" si="29"/>
        <v/>
      </c>
      <c r="P29" s="123" t="str">
        <f t="shared" ca="1" si="29"/>
        <v/>
      </c>
      <c r="Q29" s="123" t="str">
        <f t="shared" ca="1" si="31"/>
        <v/>
      </c>
      <c r="R29" s="123" t="str">
        <f t="shared" ref="R29" ca="1" si="34">S29</f>
        <v/>
      </c>
      <c r="S29" s="26" t="str">
        <f t="shared" ca="1" si="31"/>
        <v/>
      </c>
      <c r="T29" s="26" t="str">
        <f t="shared" ca="1" si="31"/>
        <v/>
      </c>
      <c r="U29" s="26" t="str">
        <f t="shared" ca="1" si="31"/>
        <v/>
      </c>
      <c r="V29" s="26" t="str">
        <f t="shared" ca="1" si="31"/>
        <v/>
      </c>
      <c r="W29" s="26" t="str">
        <f t="shared" ca="1" si="31"/>
        <v/>
      </c>
      <c r="X29" s="26" t="str">
        <f t="shared" ca="1" si="31"/>
        <v/>
      </c>
      <c r="Y29" s="26" t="str">
        <f t="shared" ca="1" si="31"/>
        <v/>
      </c>
      <c r="Z29" s="26" t="str">
        <f t="shared" ca="1" si="31"/>
        <v/>
      </c>
      <c r="AA29" s="26" t="str">
        <f t="shared" ca="1" si="31"/>
        <v/>
      </c>
      <c r="AB29" s="26" t="str">
        <f t="shared" ca="1" si="31"/>
        <v/>
      </c>
      <c r="AC29" s="26" t="str">
        <f t="shared" ca="1" si="31"/>
        <v/>
      </c>
      <c r="AD29" s="26" t="str">
        <f t="shared" ca="1" si="31"/>
        <v/>
      </c>
      <c r="AE29" s="26" t="str">
        <f t="shared" ca="1" si="31"/>
        <v/>
      </c>
      <c r="AF29" s="26" t="str">
        <f t="shared" ca="1" si="31"/>
        <v/>
      </c>
      <c r="AG29" s="26" t="str">
        <f t="shared" ca="1" si="32"/>
        <v/>
      </c>
      <c r="AH29" s="26" t="str">
        <f t="shared" ca="1" si="32"/>
        <v/>
      </c>
      <c r="AI29" s="26" t="str">
        <f t="shared" ca="1" si="32"/>
        <v/>
      </c>
      <c r="AJ29" s="26" t="str">
        <f t="shared" ca="1" si="32"/>
        <v/>
      </c>
      <c r="AK29" s="26" t="str">
        <f t="shared" ca="1" si="32"/>
        <v/>
      </c>
      <c r="AL29" s="26" t="str">
        <f t="shared" ca="1" si="32"/>
        <v/>
      </c>
      <c r="AM29" s="26" t="str">
        <f t="shared" ca="1" si="32"/>
        <v/>
      </c>
      <c r="AN29" s="26" t="str">
        <f t="shared" ca="1" si="32"/>
        <v/>
      </c>
      <c r="AO29" s="26" t="str">
        <f t="shared" ca="1" si="32"/>
        <v/>
      </c>
      <c r="AP29" s="26" t="str">
        <f t="shared" ca="1" si="32"/>
        <v/>
      </c>
      <c r="AQ29" s="26" t="str">
        <f t="shared" ca="1" si="32"/>
        <v/>
      </c>
      <c r="AR29" s="26" t="str">
        <f t="shared" ca="1" si="32"/>
        <v/>
      </c>
      <c r="AS29" s="26" t="str">
        <f t="shared" ca="1" si="32"/>
        <v/>
      </c>
      <c r="AT29" s="26" t="str">
        <f t="shared" ca="1" si="32"/>
        <v/>
      </c>
      <c r="AU29" s="26" t="str">
        <f t="shared" ca="1" si="32"/>
        <v/>
      </c>
      <c r="AV29" s="26" t="str">
        <f t="shared" ca="1" si="32"/>
        <v/>
      </c>
      <c r="AW29" s="26" t="str">
        <f t="shared" ca="1" si="33"/>
        <v/>
      </c>
      <c r="AX29" s="26" t="str">
        <f t="shared" ca="1" si="33"/>
        <v/>
      </c>
      <c r="AY29" s="26" t="str">
        <f t="shared" ca="1" si="33"/>
        <v/>
      </c>
      <c r="AZ29" s="26" t="str">
        <f t="shared" ca="1" si="33"/>
        <v/>
      </c>
      <c r="BA29" s="26" t="str">
        <f t="shared" ca="1" si="33"/>
        <v/>
      </c>
      <c r="BB29" s="26" t="str">
        <f t="shared" ca="1" si="33"/>
        <v/>
      </c>
      <c r="BC29" s="26" t="str">
        <f t="shared" ca="1" si="33"/>
        <v/>
      </c>
      <c r="BD29" s="26" t="str">
        <f t="shared" ca="1" si="33"/>
        <v/>
      </c>
      <c r="BE29" s="26" t="str">
        <f t="shared" ca="1" si="33"/>
        <v/>
      </c>
      <c r="BF29" s="26" t="str">
        <f t="shared" ca="1" si="33"/>
        <v/>
      </c>
      <c r="BG29" s="26" t="str">
        <f t="shared" ca="1" si="33"/>
        <v/>
      </c>
      <c r="BH29" s="26" t="str">
        <f t="shared" ca="1" si="33"/>
        <v/>
      </c>
      <c r="BI29" s="26" t="str">
        <f t="shared" ca="1" si="33"/>
        <v/>
      </c>
      <c r="BJ29" s="26" t="str">
        <f t="shared" ca="1" si="33"/>
        <v/>
      </c>
      <c r="BK29" s="26" t="str">
        <f t="shared" ca="1" si="33"/>
        <v/>
      </c>
      <c r="BL29" s="26" t="str">
        <f t="shared" ca="1" si="33"/>
        <v/>
      </c>
    </row>
    <row r="30" spans="1:64" s="1" customFormat="1" ht="40" customHeight="1" x14ac:dyDescent="0.2">
      <c r="A30" s="9"/>
      <c r="B30" s="134" t="s">
        <v>44</v>
      </c>
      <c r="C30" s="57" t="s">
        <v>35</v>
      </c>
      <c r="D30" s="57" t="s">
        <v>26</v>
      </c>
      <c r="E30" s="58">
        <v>1</v>
      </c>
      <c r="F30" s="59">
        <v>45931</v>
      </c>
      <c r="G30" s="60">
        <v>7</v>
      </c>
      <c r="H30" s="57"/>
      <c r="I30" s="26"/>
      <c r="J30" s="26"/>
      <c r="K30" s="26"/>
      <c r="L30" s="26"/>
      <c r="M30" s="26"/>
      <c r="N30" s="26"/>
      <c r="O30" s="26"/>
      <c r="P30" s="123"/>
      <c r="Q30" s="123"/>
      <c r="R30" s="123"/>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64" s="1" customFormat="1" ht="40" customHeight="1" x14ac:dyDescent="0.2">
      <c r="A31" s="9"/>
      <c r="B31" s="134" t="s">
        <v>45</v>
      </c>
      <c r="C31" s="57" t="s">
        <v>35</v>
      </c>
      <c r="D31" s="57" t="s">
        <v>26</v>
      </c>
      <c r="E31" s="58">
        <v>1</v>
      </c>
      <c r="F31" s="59">
        <v>45931</v>
      </c>
      <c r="G31" s="60">
        <v>7</v>
      </c>
      <c r="H31" s="57"/>
      <c r="I31" s="26" t="str">
        <f t="shared" ca="1" si="25"/>
        <v/>
      </c>
      <c r="J31" s="26" t="str">
        <f t="shared" ca="1" si="25"/>
        <v/>
      </c>
      <c r="K31" s="26" t="str">
        <f t="shared" ca="1" si="25"/>
        <v/>
      </c>
      <c r="L31" s="26" t="str">
        <f t="shared" ca="1" si="25"/>
        <v/>
      </c>
      <c r="M31" s="26" t="str">
        <f t="shared" ca="1" si="25"/>
        <v/>
      </c>
      <c r="N31" s="26" t="str">
        <f t="shared" ca="1" si="25"/>
        <v/>
      </c>
      <c r="O31" s="26" t="str">
        <f t="shared" ca="1" si="25"/>
        <v/>
      </c>
      <c r="P31" s="26" t="str">
        <f t="shared" ca="1" si="25"/>
        <v/>
      </c>
      <c r="Q31" s="26" t="str">
        <f t="shared" ca="1" si="25"/>
        <v/>
      </c>
      <c r="R31" s="123" t="str">
        <f t="shared" ca="1" si="25"/>
        <v/>
      </c>
      <c r="S31" s="123" t="str">
        <f t="shared" ca="1" si="25"/>
        <v/>
      </c>
      <c r="T31" s="123" t="str">
        <f t="shared" ca="1" si="25"/>
        <v/>
      </c>
      <c r="U31" s="26" t="str">
        <f t="shared" ca="1" si="25"/>
        <v/>
      </c>
      <c r="V31" s="26" t="str">
        <f t="shared" ca="1" si="25"/>
        <v/>
      </c>
      <c r="W31" s="26" t="str">
        <f t="shared" ca="1" si="25"/>
        <v/>
      </c>
      <c r="X31" s="26" t="str">
        <f t="shared" ca="1" si="25"/>
        <v/>
      </c>
      <c r="Y31" s="26" t="str">
        <f t="shared" ref="Y31:AN33" ca="1" si="35">IF(AND($C31="Goal",Y$7&gt;=$F31,Y$7&lt;=$F31+$G31-1),2,IF(AND($C31="Milestone",Y$7&gt;=$F31,Y$7&lt;=$F31+$G31-1),1,""))</f>
        <v/>
      </c>
      <c r="Z31" s="26" t="str">
        <f t="shared" ca="1" si="35"/>
        <v/>
      </c>
      <c r="AA31" s="26" t="str">
        <f t="shared" ca="1" si="35"/>
        <v/>
      </c>
      <c r="AB31" s="26" t="str">
        <f t="shared" ca="1" si="35"/>
        <v/>
      </c>
      <c r="AC31" s="26" t="str">
        <f t="shared" ca="1" si="26"/>
        <v/>
      </c>
      <c r="AD31" s="26" t="str">
        <f t="shared" ca="1" si="26"/>
        <v/>
      </c>
      <c r="AE31" s="26" t="str">
        <f t="shared" ca="1" si="26"/>
        <v/>
      </c>
      <c r="AF31" s="26" t="str">
        <f t="shared" ca="1" si="26"/>
        <v/>
      </c>
      <c r="AG31" s="26" t="str">
        <f t="shared" ca="1" si="26"/>
        <v/>
      </c>
      <c r="AH31" s="26" t="str">
        <f t="shared" ca="1" si="26"/>
        <v/>
      </c>
      <c r="AI31" s="26" t="str">
        <f t="shared" ca="1" si="26"/>
        <v/>
      </c>
      <c r="AJ31" s="26" t="str">
        <f t="shared" ca="1" si="26"/>
        <v/>
      </c>
      <c r="AK31" s="26" t="str">
        <f t="shared" ca="1" si="26"/>
        <v/>
      </c>
      <c r="AL31" s="26" t="str">
        <f t="shared" ca="1" si="26"/>
        <v/>
      </c>
      <c r="AM31" s="26" t="str">
        <f t="shared" ca="1" si="26"/>
        <v/>
      </c>
      <c r="AN31" s="26" t="str">
        <f t="shared" ca="1" si="26"/>
        <v/>
      </c>
      <c r="AO31" s="26" t="str">
        <f t="shared" ref="AO31:BD33" ca="1" si="36">IF(AND($C31="Goal",AO$7&gt;=$F31,AO$7&lt;=$F31+$G31-1),2,IF(AND($C31="Milestone",AO$7&gt;=$F31,AO$7&lt;=$F31+$G31-1),1,""))</f>
        <v/>
      </c>
      <c r="AP31" s="26" t="str">
        <f t="shared" ca="1" si="36"/>
        <v/>
      </c>
      <c r="AQ31" s="26" t="str">
        <f t="shared" ca="1" si="36"/>
        <v/>
      </c>
      <c r="AR31" s="26" t="str">
        <f t="shared" ca="1" si="36"/>
        <v/>
      </c>
      <c r="AS31" s="26" t="str">
        <f t="shared" ca="1" si="36"/>
        <v/>
      </c>
      <c r="AT31" s="26" t="str">
        <f t="shared" ca="1" si="36"/>
        <v/>
      </c>
      <c r="AU31" s="26" t="str">
        <f t="shared" ca="1" si="36"/>
        <v/>
      </c>
      <c r="AV31" s="26" t="str">
        <f t="shared" ca="1" si="36"/>
        <v/>
      </c>
      <c r="AW31" s="26" t="str">
        <f t="shared" ca="1" si="28"/>
        <v/>
      </c>
      <c r="AX31" s="26" t="str">
        <f t="shared" ca="1" si="28"/>
        <v/>
      </c>
      <c r="AY31" s="26" t="str">
        <f t="shared" ca="1" si="28"/>
        <v/>
      </c>
      <c r="AZ31" s="26" t="str">
        <f t="shared" ca="1" si="28"/>
        <v/>
      </c>
      <c r="BA31" s="26" t="str">
        <f t="shared" ca="1" si="28"/>
        <v/>
      </c>
      <c r="BB31" s="26" t="str">
        <f t="shared" ca="1" si="28"/>
        <v/>
      </c>
      <c r="BC31" s="26" t="str">
        <f t="shared" ca="1" si="28"/>
        <v/>
      </c>
      <c r="BD31" s="26" t="str">
        <f t="shared" ca="1" si="28"/>
        <v/>
      </c>
      <c r="BE31" s="26" t="str">
        <f t="shared" ca="1" si="28"/>
        <v/>
      </c>
      <c r="BF31" s="26" t="str">
        <f t="shared" ca="1" si="28"/>
        <v/>
      </c>
      <c r="BG31" s="26" t="str">
        <f t="shared" ca="1" si="28"/>
        <v/>
      </c>
      <c r="BH31" s="26" t="str">
        <f t="shared" ca="1" si="28"/>
        <v/>
      </c>
      <c r="BI31" s="26" t="str">
        <f t="shared" ca="1" si="28"/>
        <v/>
      </c>
      <c r="BJ31" s="26" t="str">
        <f t="shared" ca="1" si="28"/>
        <v/>
      </c>
      <c r="BK31" s="26" t="str">
        <f t="shared" ca="1" si="28"/>
        <v/>
      </c>
      <c r="BL31" s="26" t="str">
        <f t="shared" ca="1" si="28"/>
        <v/>
      </c>
    </row>
    <row r="32" spans="1:64" s="1" customFormat="1" ht="40" customHeight="1" x14ac:dyDescent="0.2">
      <c r="A32" s="9"/>
      <c r="B32" s="134" t="s">
        <v>46</v>
      </c>
      <c r="C32" s="57" t="s">
        <v>23</v>
      </c>
      <c r="D32" s="57" t="s">
        <v>26</v>
      </c>
      <c r="E32" s="58">
        <v>1</v>
      </c>
      <c r="F32" s="59">
        <v>45951</v>
      </c>
      <c r="G32" s="60">
        <v>7</v>
      </c>
      <c r="H32" s="57"/>
      <c r="I32" s="26" t="str">
        <f t="shared" ca="1" si="25"/>
        <v/>
      </c>
      <c r="J32" s="26" t="str">
        <f t="shared" ca="1" si="25"/>
        <v/>
      </c>
      <c r="K32" s="26" t="str">
        <f t="shared" ca="1" si="25"/>
        <v/>
      </c>
      <c r="L32" s="26" t="str">
        <f t="shared" ca="1" si="25"/>
        <v/>
      </c>
      <c r="M32" s="26" t="str">
        <f t="shared" ca="1" si="25"/>
        <v/>
      </c>
      <c r="N32" s="26" t="str">
        <f t="shared" ca="1" si="25"/>
        <v/>
      </c>
      <c r="O32" s="26" t="str">
        <f t="shared" ca="1" si="25"/>
        <v/>
      </c>
      <c r="P32" s="26" t="str">
        <f t="shared" ca="1" si="25"/>
        <v/>
      </c>
      <c r="Q32" s="26" t="str">
        <f t="shared" ca="1" si="25"/>
        <v/>
      </c>
      <c r="R32" s="26" t="str">
        <f t="shared" ca="1" si="25"/>
        <v/>
      </c>
      <c r="S32" s="26" t="str">
        <f t="shared" ca="1" si="25"/>
        <v/>
      </c>
      <c r="T32" s="26" t="str">
        <f t="shared" ca="1" si="25"/>
        <v/>
      </c>
      <c r="U32" s="26" t="str">
        <f t="shared" ca="1" si="25"/>
        <v/>
      </c>
      <c r="V32" s="26" t="str">
        <f t="shared" ca="1" si="25"/>
        <v/>
      </c>
      <c r="W32" s="26" t="str">
        <f t="shared" ca="1" si="25"/>
        <v/>
      </c>
      <c r="X32" s="26" t="str">
        <f t="shared" ca="1" si="25"/>
        <v/>
      </c>
      <c r="Y32" s="26" t="str">
        <f t="shared" ca="1" si="35"/>
        <v/>
      </c>
      <c r="Z32" s="26" t="str">
        <f t="shared" ca="1" si="35"/>
        <v/>
      </c>
      <c r="AA32" s="26" t="str">
        <f t="shared" ca="1" si="35"/>
        <v/>
      </c>
      <c r="AB32" s="26" t="str">
        <f t="shared" ca="1" si="35"/>
        <v/>
      </c>
      <c r="AC32" s="26" t="str">
        <f t="shared" ca="1" si="35"/>
        <v/>
      </c>
      <c r="AD32" s="26" t="str">
        <f t="shared" ca="1" si="35"/>
        <v/>
      </c>
      <c r="AE32" s="26" t="str">
        <f t="shared" ca="1" si="35"/>
        <v/>
      </c>
      <c r="AF32" s="26" t="str">
        <f t="shared" ca="1" si="35"/>
        <v/>
      </c>
      <c r="AG32" s="26" t="str">
        <f t="shared" ca="1" si="35"/>
        <v/>
      </c>
      <c r="AH32" s="26" t="str">
        <f t="shared" ca="1" si="35"/>
        <v/>
      </c>
      <c r="AI32" s="26" t="str">
        <f t="shared" ca="1" si="35"/>
        <v/>
      </c>
      <c r="AJ32" s="26" t="str">
        <f t="shared" ca="1" si="35"/>
        <v/>
      </c>
      <c r="AK32" s="26" t="str">
        <f t="shared" ca="1" si="35"/>
        <v/>
      </c>
      <c r="AL32" s="26" t="str">
        <f t="shared" ca="1" si="35"/>
        <v/>
      </c>
      <c r="AM32" s="26" t="str">
        <f t="shared" ca="1" si="35"/>
        <v/>
      </c>
      <c r="AN32" s="26" t="str">
        <f t="shared" ca="1" si="35"/>
        <v/>
      </c>
      <c r="AO32" s="26" t="str">
        <f t="shared" ca="1" si="36"/>
        <v/>
      </c>
      <c r="AP32" s="26" t="str">
        <f t="shared" ca="1" si="36"/>
        <v/>
      </c>
      <c r="AQ32" s="26" t="str">
        <f t="shared" ca="1" si="36"/>
        <v/>
      </c>
      <c r="AR32" s="26" t="str">
        <f t="shared" ca="1" si="36"/>
        <v/>
      </c>
      <c r="AS32" s="26" t="str">
        <f t="shared" ca="1" si="36"/>
        <v/>
      </c>
      <c r="AT32" s="26" t="str">
        <f t="shared" ca="1" si="36"/>
        <v/>
      </c>
      <c r="AU32" s="26" t="str">
        <f t="shared" ca="1" si="36"/>
        <v/>
      </c>
      <c r="AV32" s="26" t="str">
        <f t="shared" ca="1" si="36"/>
        <v/>
      </c>
      <c r="AW32" s="26" t="str">
        <f t="shared" ca="1" si="36"/>
        <v/>
      </c>
      <c r="AX32" s="26" t="str">
        <f t="shared" ca="1" si="36"/>
        <v/>
      </c>
      <c r="AY32" s="26" t="str">
        <f t="shared" ca="1" si="36"/>
        <v/>
      </c>
      <c r="AZ32" s="26" t="str">
        <f t="shared" ca="1" si="36"/>
        <v/>
      </c>
      <c r="BA32" s="26" t="str">
        <f t="shared" ca="1" si="36"/>
        <v/>
      </c>
      <c r="BB32" s="26" t="str">
        <f t="shared" ca="1" si="36"/>
        <v/>
      </c>
      <c r="BC32" s="26" t="str">
        <f t="shared" ca="1" si="36"/>
        <v/>
      </c>
      <c r="BD32" s="26" t="str">
        <f t="shared" ca="1" si="36"/>
        <v/>
      </c>
      <c r="BE32" s="26" t="str">
        <f t="shared" ca="1" si="28"/>
        <v/>
      </c>
      <c r="BF32" s="26" t="str">
        <f t="shared" ca="1" si="28"/>
        <v/>
      </c>
      <c r="BG32" s="26" t="str">
        <f t="shared" ca="1" si="28"/>
        <v/>
      </c>
      <c r="BH32" s="26" t="str">
        <f t="shared" ca="1" si="28"/>
        <v/>
      </c>
      <c r="BI32" s="26" t="str">
        <f t="shared" ca="1" si="28"/>
        <v/>
      </c>
      <c r="BJ32" s="26" t="str">
        <f t="shared" ca="1" si="28"/>
        <v/>
      </c>
      <c r="BK32" s="26" t="str">
        <f t="shared" ca="1" si="28"/>
        <v/>
      </c>
      <c r="BL32" s="26" t="str">
        <f t="shared" ca="1" si="28"/>
        <v/>
      </c>
    </row>
    <row r="33" spans="1:64" s="1" customFormat="1" ht="40" customHeight="1" x14ac:dyDescent="0.2">
      <c r="A33" s="9"/>
      <c r="B33" s="134"/>
      <c r="C33" s="57"/>
      <c r="D33" s="57"/>
      <c r="E33" s="58"/>
      <c r="F33" s="59"/>
      <c r="G33" s="60"/>
      <c r="H33" s="57"/>
      <c r="I33" s="26" t="str">
        <f t="shared" ca="1" si="25"/>
        <v/>
      </c>
      <c r="J33" s="26" t="str">
        <f t="shared" ca="1" si="25"/>
        <v/>
      </c>
      <c r="K33" s="123"/>
      <c r="L33" s="26" t="str">
        <f t="shared" ca="1" si="25"/>
        <v/>
      </c>
      <c r="M33" s="26" t="str">
        <f t="shared" ca="1" si="25"/>
        <v/>
      </c>
      <c r="N33" s="26" t="str">
        <f t="shared" ca="1" si="25"/>
        <v/>
      </c>
      <c r="O33" s="26" t="str">
        <f t="shared" ca="1" si="25"/>
        <v/>
      </c>
      <c r="P33" s="26" t="str">
        <f t="shared" ca="1" si="25"/>
        <v/>
      </c>
      <c r="Q33" s="26" t="str">
        <f t="shared" ca="1" si="25"/>
        <v/>
      </c>
      <c r="R33" s="26" t="str">
        <f t="shared" ca="1" si="25"/>
        <v/>
      </c>
      <c r="S33" s="26" t="str">
        <f t="shared" ca="1" si="25"/>
        <v/>
      </c>
      <c r="T33" s="26" t="str">
        <f t="shared" ca="1" si="25"/>
        <v/>
      </c>
      <c r="U33" s="26" t="str">
        <f t="shared" ca="1" si="25"/>
        <v/>
      </c>
      <c r="V33" s="26" t="str">
        <f t="shared" ca="1" si="25"/>
        <v/>
      </c>
      <c r="W33" s="26" t="str">
        <f t="shared" ca="1" si="25"/>
        <v/>
      </c>
      <c r="X33" s="26" t="str">
        <f t="shared" ca="1" si="25"/>
        <v/>
      </c>
      <c r="Y33" s="26" t="str">
        <f t="shared" ca="1" si="35"/>
        <v/>
      </c>
      <c r="Z33" s="26" t="str">
        <f t="shared" ca="1" si="35"/>
        <v/>
      </c>
      <c r="AA33" s="26" t="str">
        <f t="shared" ca="1" si="35"/>
        <v/>
      </c>
      <c r="AB33" s="26" t="str">
        <f t="shared" ca="1" si="35"/>
        <v/>
      </c>
      <c r="AC33" s="26" t="str">
        <f t="shared" ca="1" si="35"/>
        <v/>
      </c>
      <c r="AD33" s="26" t="str">
        <f t="shared" ca="1" si="35"/>
        <v/>
      </c>
      <c r="AE33" s="26" t="str">
        <f t="shared" ca="1" si="35"/>
        <v/>
      </c>
      <c r="AF33" s="26" t="str">
        <f t="shared" ca="1" si="35"/>
        <v/>
      </c>
      <c r="AG33" s="26" t="str">
        <f t="shared" ca="1" si="35"/>
        <v/>
      </c>
      <c r="AH33" s="26" t="str">
        <f t="shared" ca="1" si="35"/>
        <v/>
      </c>
      <c r="AI33" s="26" t="str">
        <f t="shared" ca="1" si="35"/>
        <v/>
      </c>
      <c r="AJ33" s="26" t="str">
        <f t="shared" ca="1" si="35"/>
        <v/>
      </c>
      <c r="AK33" s="26" t="str">
        <f t="shared" ca="1" si="35"/>
        <v/>
      </c>
      <c r="AL33" s="26" t="str">
        <f t="shared" ca="1" si="35"/>
        <v/>
      </c>
      <c r="AM33" s="26" t="str">
        <f t="shared" ca="1" si="35"/>
        <v/>
      </c>
      <c r="AN33" s="26" t="str">
        <f t="shared" ca="1" si="35"/>
        <v/>
      </c>
      <c r="AO33" s="26" t="str">
        <f t="shared" ca="1" si="36"/>
        <v/>
      </c>
      <c r="AP33" s="26" t="str">
        <f t="shared" ca="1" si="36"/>
        <v/>
      </c>
      <c r="AQ33" s="26" t="str">
        <f t="shared" ca="1" si="36"/>
        <v/>
      </c>
      <c r="AR33" s="26" t="str">
        <f t="shared" ca="1" si="36"/>
        <v/>
      </c>
      <c r="AS33" s="26" t="str">
        <f t="shared" ca="1" si="36"/>
        <v/>
      </c>
      <c r="AT33" s="26" t="str">
        <f t="shared" ca="1" si="36"/>
        <v/>
      </c>
      <c r="AU33" s="26" t="str">
        <f t="shared" ca="1" si="36"/>
        <v/>
      </c>
      <c r="AV33" s="26" t="str">
        <f t="shared" ca="1" si="36"/>
        <v/>
      </c>
      <c r="AW33" s="26" t="str">
        <f t="shared" ca="1" si="36"/>
        <v/>
      </c>
      <c r="AX33" s="26" t="str">
        <f t="shared" ca="1" si="36"/>
        <v/>
      </c>
      <c r="AY33" s="26" t="str">
        <f t="shared" ca="1" si="36"/>
        <v/>
      </c>
      <c r="AZ33" s="26" t="str">
        <f t="shared" ca="1" si="36"/>
        <v/>
      </c>
      <c r="BA33" s="26" t="str">
        <f t="shared" ca="1" si="36"/>
        <v/>
      </c>
      <c r="BB33" s="26" t="str">
        <f t="shared" ca="1" si="36"/>
        <v/>
      </c>
      <c r="BC33" s="26" t="str">
        <f t="shared" ca="1" si="36"/>
        <v/>
      </c>
      <c r="BD33" s="26" t="str">
        <f t="shared" ca="1" si="36"/>
        <v/>
      </c>
      <c r="BE33" s="26" t="str">
        <f t="shared" ca="1" si="28"/>
        <v/>
      </c>
      <c r="BF33" s="26" t="str">
        <f t="shared" ca="1" si="28"/>
        <v/>
      </c>
      <c r="BG33" s="26" t="str">
        <f t="shared" ca="1" si="28"/>
        <v/>
      </c>
      <c r="BH33" s="26" t="str">
        <f t="shared" ca="1" si="28"/>
        <v/>
      </c>
      <c r="BI33" s="26" t="str">
        <f t="shared" ca="1" si="28"/>
        <v/>
      </c>
      <c r="BJ33" s="26" t="str">
        <f t="shared" ca="1" si="28"/>
        <v/>
      </c>
      <c r="BK33" s="26" t="str">
        <f t="shared" ca="1" si="28"/>
        <v/>
      </c>
      <c r="BL33" s="26" t="str">
        <f t="shared" ca="1" si="28"/>
        <v/>
      </c>
    </row>
    <row r="34" spans="1:64" s="1" customFormat="1" ht="40" customHeight="1" x14ac:dyDescent="0.2">
      <c r="A34" s="9"/>
      <c r="B34" s="134" t="s">
        <v>47</v>
      </c>
      <c r="C34" s="57" t="s">
        <v>20</v>
      </c>
      <c r="D34" s="85" t="s">
        <v>24</v>
      </c>
      <c r="E34" s="58">
        <v>1</v>
      </c>
      <c r="F34" s="59">
        <v>45945</v>
      </c>
      <c r="G34" s="60">
        <v>7</v>
      </c>
      <c r="H34" s="57"/>
      <c r="I34" s="26"/>
      <c r="J34" s="26"/>
      <c r="K34" s="123"/>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row>
    <row r="35" spans="1:64" s="1" customFormat="1" ht="40" customHeight="1" x14ac:dyDescent="0.2">
      <c r="A35" s="9"/>
      <c r="B35" s="134"/>
      <c r="C35" s="57"/>
      <c r="D35" s="85"/>
      <c r="E35" s="58"/>
      <c r="F35" s="59"/>
      <c r="G35" s="60"/>
      <c r="H35" s="57"/>
      <c r="I35" s="26" t="str">
        <f t="shared" ca="1" si="18"/>
        <v/>
      </c>
      <c r="J35" s="26" t="str">
        <f t="shared" ca="1" si="18"/>
        <v/>
      </c>
      <c r="K35" s="26" t="str">
        <f t="shared" ca="1" si="18"/>
        <v/>
      </c>
      <c r="L35" s="26" t="str">
        <f t="shared" ca="1" si="18"/>
        <v/>
      </c>
      <c r="M35" s="123" t="str">
        <f t="shared" ca="1" si="18"/>
        <v/>
      </c>
      <c r="N35" s="123"/>
      <c r="O35" s="123" t="str">
        <f t="shared" ref="O35:P36" ca="1" si="37">IF(AND($C35="Goal",O$7&gt;=$F35,O$7&lt;=$F35+$G35-1),2,IF(AND($C35="Milestone",O$7&gt;=$F35,O$7&lt;=$F35+$G35-1),1,""))</f>
        <v/>
      </c>
      <c r="P35" s="124"/>
      <c r="Q35" s="26" t="str">
        <f t="shared" ref="Q35:AF36" ca="1" si="38">IF(AND($C35="Goal",Q$7&gt;=$F35,Q$7&lt;=$F35+$G35-1),2,IF(AND($C35="Milestone",Q$7&gt;=$F35,Q$7&lt;=$F35+$G35-1),1,""))</f>
        <v/>
      </c>
      <c r="R35" s="26" t="str">
        <f t="shared" ca="1" si="38"/>
        <v/>
      </c>
      <c r="S35" s="26" t="str">
        <f t="shared" ca="1" si="38"/>
        <v/>
      </c>
      <c r="T35" s="26" t="str">
        <f t="shared" ca="1" si="38"/>
        <v/>
      </c>
      <c r="U35" s="26" t="str">
        <f t="shared" ca="1" si="38"/>
        <v/>
      </c>
      <c r="V35" s="26" t="str">
        <f t="shared" ca="1" si="38"/>
        <v/>
      </c>
      <c r="W35" s="26" t="str">
        <f t="shared" ca="1" si="38"/>
        <v/>
      </c>
      <c r="X35" s="26" t="str">
        <f t="shared" ca="1" si="38"/>
        <v/>
      </c>
      <c r="Y35" s="26" t="str">
        <f t="shared" ca="1" si="38"/>
        <v/>
      </c>
      <c r="Z35" s="26" t="str">
        <f t="shared" ca="1" si="38"/>
        <v/>
      </c>
      <c r="AA35" s="26" t="str">
        <f t="shared" ca="1" si="38"/>
        <v/>
      </c>
      <c r="AB35" s="26" t="str">
        <f t="shared" ca="1" si="38"/>
        <v/>
      </c>
      <c r="AC35" s="26" t="str">
        <f t="shared" ca="1" si="38"/>
        <v/>
      </c>
      <c r="AD35" s="26" t="str">
        <f t="shared" ca="1" si="38"/>
        <v/>
      </c>
      <c r="AE35" s="26" t="str">
        <f t="shared" ca="1" si="38"/>
        <v/>
      </c>
      <c r="AF35" s="26" t="str">
        <f t="shared" ca="1" si="38"/>
        <v/>
      </c>
      <c r="AG35" s="26" t="str">
        <f t="shared" ref="AG35:AV36" ca="1" si="39">IF(AND($C35="Goal",AG$7&gt;=$F35,AG$7&lt;=$F35+$G35-1),2,IF(AND($C35="Milestone",AG$7&gt;=$F35,AG$7&lt;=$F35+$G35-1),1,""))</f>
        <v/>
      </c>
      <c r="AH35" s="26" t="str">
        <f t="shared" ca="1" si="39"/>
        <v/>
      </c>
      <c r="AI35" s="26" t="str">
        <f t="shared" ca="1" si="39"/>
        <v/>
      </c>
      <c r="AJ35" s="26" t="str">
        <f t="shared" ca="1" si="39"/>
        <v/>
      </c>
      <c r="AK35" s="26" t="str">
        <f t="shared" ca="1" si="39"/>
        <v/>
      </c>
      <c r="AL35" s="26" t="str">
        <f t="shared" ca="1" si="39"/>
        <v/>
      </c>
      <c r="AM35" s="26" t="str">
        <f t="shared" ca="1" si="39"/>
        <v/>
      </c>
      <c r="AN35" s="26" t="str">
        <f t="shared" ca="1" si="39"/>
        <v/>
      </c>
      <c r="AO35" s="26" t="str">
        <f t="shared" ca="1" si="39"/>
        <v/>
      </c>
      <c r="AP35" s="26" t="str">
        <f t="shared" ca="1" si="39"/>
        <v/>
      </c>
      <c r="AQ35" s="26" t="str">
        <f t="shared" ca="1" si="39"/>
        <v/>
      </c>
      <c r="AR35" s="26" t="str">
        <f t="shared" ca="1" si="39"/>
        <v/>
      </c>
      <c r="AS35" s="26" t="str">
        <f t="shared" ca="1" si="39"/>
        <v/>
      </c>
      <c r="AT35" s="26" t="str">
        <f t="shared" ca="1" si="39"/>
        <v/>
      </c>
      <c r="AU35" s="26" t="str">
        <f t="shared" ca="1" si="39"/>
        <v/>
      </c>
      <c r="AV35" s="26" t="str">
        <f t="shared" ca="1" si="39"/>
        <v/>
      </c>
      <c r="AW35" s="26" t="str">
        <f t="shared" ref="AW35:BL36" ca="1" si="40">IF(AND($C35="Goal",AW$7&gt;=$F35,AW$7&lt;=$F35+$G35-1),2,IF(AND($C35="Milestone",AW$7&gt;=$F35,AW$7&lt;=$F35+$G35-1),1,""))</f>
        <v/>
      </c>
      <c r="AX35" s="26" t="str">
        <f t="shared" ca="1" si="40"/>
        <v/>
      </c>
      <c r="AY35" s="26" t="str">
        <f t="shared" ca="1" si="40"/>
        <v/>
      </c>
      <c r="AZ35" s="26" t="str">
        <f t="shared" ca="1" si="40"/>
        <v/>
      </c>
      <c r="BA35" s="26" t="str">
        <f t="shared" ca="1" si="40"/>
        <v/>
      </c>
      <c r="BB35" s="26" t="str">
        <f t="shared" ca="1" si="40"/>
        <v/>
      </c>
      <c r="BC35" s="26" t="str">
        <f t="shared" ca="1" si="40"/>
        <v/>
      </c>
      <c r="BD35" s="26" t="str">
        <f t="shared" ca="1" si="40"/>
        <v/>
      </c>
      <c r="BE35" s="26" t="str">
        <f t="shared" ca="1" si="40"/>
        <v/>
      </c>
      <c r="BF35" s="26" t="str">
        <f t="shared" ca="1" si="40"/>
        <v/>
      </c>
      <c r="BG35" s="26" t="str">
        <f t="shared" ca="1" si="40"/>
        <v/>
      </c>
      <c r="BH35" s="26" t="str">
        <f t="shared" ca="1" si="40"/>
        <v/>
      </c>
      <c r="BI35" s="26" t="str">
        <f t="shared" ca="1" si="40"/>
        <v/>
      </c>
      <c r="BJ35" s="26" t="str">
        <f t="shared" ca="1" si="40"/>
        <v/>
      </c>
      <c r="BK35" s="26" t="str">
        <f t="shared" ca="1" si="40"/>
        <v/>
      </c>
      <c r="BL35" s="26" t="str">
        <f t="shared" ca="1" si="40"/>
        <v/>
      </c>
    </row>
    <row r="36" spans="1:64" s="1" customFormat="1" ht="40" customHeight="1" x14ac:dyDescent="0.2">
      <c r="A36" s="9"/>
      <c r="B36" s="131" t="s">
        <v>48</v>
      </c>
      <c r="C36" s="57" t="s">
        <v>35</v>
      </c>
      <c r="D36" s="57" t="s">
        <v>26</v>
      </c>
      <c r="E36" s="58">
        <v>1</v>
      </c>
      <c r="F36" s="59">
        <v>45935</v>
      </c>
      <c r="G36" s="60">
        <v>7</v>
      </c>
      <c r="H36" s="57"/>
      <c r="I36" s="26" t="str">
        <f t="shared" ca="1" si="18"/>
        <v/>
      </c>
      <c r="J36" s="26" t="str">
        <f t="shared" ca="1" si="18"/>
        <v/>
      </c>
      <c r="K36" s="26" t="str">
        <f t="shared" ca="1" si="18"/>
        <v/>
      </c>
      <c r="L36" s="26" t="str">
        <f t="shared" ca="1" si="18"/>
        <v/>
      </c>
      <c r="M36" s="26" t="str">
        <f t="shared" ca="1" si="18"/>
        <v/>
      </c>
      <c r="N36" s="26" t="str">
        <f t="shared" ca="1" si="18"/>
        <v/>
      </c>
      <c r="O36" s="26" t="str">
        <f t="shared" ca="1" si="37"/>
        <v/>
      </c>
      <c r="P36" s="123" t="str">
        <f t="shared" ca="1" si="37"/>
        <v/>
      </c>
      <c r="Q36" s="123" t="str">
        <f t="shared" ca="1" si="38"/>
        <v/>
      </c>
      <c r="R36" s="123" t="str">
        <f t="shared" ref="R36" ca="1" si="41">S36</f>
        <v/>
      </c>
      <c r="S36" s="26" t="str">
        <f t="shared" ca="1" si="38"/>
        <v/>
      </c>
      <c r="T36" s="26" t="str">
        <f t="shared" ca="1" si="38"/>
        <v/>
      </c>
      <c r="U36" s="26" t="str">
        <f t="shared" ca="1" si="38"/>
        <v/>
      </c>
      <c r="V36" s="26" t="str">
        <f t="shared" ca="1" si="38"/>
        <v/>
      </c>
      <c r="W36" s="26" t="str">
        <f t="shared" ca="1" si="38"/>
        <v/>
      </c>
      <c r="X36" s="26" t="str">
        <f t="shared" ca="1" si="38"/>
        <v/>
      </c>
      <c r="Y36" s="26" t="str">
        <f t="shared" ca="1" si="38"/>
        <v/>
      </c>
      <c r="Z36" s="26" t="str">
        <f t="shared" ca="1" si="38"/>
        <v/>
      </c>
      <c r="AA36" s="26" t="str">
        <f t="shared" ca="1" si="38"/>
        <v/>
      </c>
      <c r="AB36" s="26" t="str">
        <f t="shared" ca="1" si="38"/>
        <v/>
      </c>
      <c r="AC36" s="26" t="str">
        <f t="shared" ca="1" si="38"/>
        <v/>
      </c>
      <c r="AD36" s="26" t="str">
        <f t="shared" ca="1" si="38"/>
        <v/>
      </c>
      <c r="AE36" s="26" t="str">
        <f t="shared" ca="1" si="38"/>
        <v/>
      </c>
      <c r="AF36" s="26" t="str">
        <f t="shared" ca="1" si="38"/>
        <v/>
      </c>
      <c r="AG36" s="26" t="str">
        <f t="shared" ca="1" si="39"/>
        <v/>
      </c>
      <c r="AH36" s="26" t="str">
        <f t="shared" ca="1" si="39"/>
        <v/>
      </c>
      <c r="AI36" s="26" t="str">
        <f t="shared" ca="1" si="39"/>
        <v/>
      </c>
      <c r="AJ36" s="26" t="str">
        <f t="shared" ca="1" si="39"/>
        <v/>
      </c>
      <c r="AK36" s="26" t="str">
        <f t="shared" ca="1" si="39"/>
        <v/>
      </c>
      <c r="AL36" s="26" t="str">
        <f t="shared" ca="1" si="39"/>
        <v/>
      </c>
      <c r="AM36" s="26" t="str">
        <f t="shared" ca="1" si="39"/>
        <v/>
      </c>
      <c r="AN36" s="26" t="str">
        <f t="shared" ca="1" si="39"/>
        <v/>
      </c>
      <c r="AO36" s="26" t="str">
        <f t="shared" ca="1" si="39"/>
        <v/>
      </c>
      <c r="AP36" s="26" t="str">
        <f t="shared" ca="1" si="39"/>
        <v/>
      </c>
      <c r="AQ36" s="26" t="str">
        <f t="shared" ca="1" si="39"/>
        <v/>
      </c>
      <c r="AR36" s="26" t="str">
        <f t="shared" ca="1" si="39"/>
        <v/>
      </c>
      <c r="AS36" s="26" t="str">
        <f t="shared" ca="1" si="39"/>
        <v/>
      </c>
      <c r="AT36" s="26" t="str">
        <f t="shared" ca="1" si="39"/>
        <v/>
      </c>
      <c r="AU36" s="26" t="str">
        <f t="shared" ca="1" si="39"/>
        <v/>
      </c>
      <c r="AV36" s="26" t="str">
        <f t="shared" ca="1" si="39"/>
        <v/>
      </c>
      <c r="AW36" s="26" t="str">
        <f t="shared" ca="1" si="40"/>
        <v/>
      </c>
      <c r="AX36" s="26" t="str">
        <f t="shared" ca="1" si="40"/>
        <v/>
      </c>
      <c r="AY36" s="26" t="str">
        <f t="shared" ca="1" si="40"/>
        <v/>
      </c>
      <c r="AZ36" s="26" t="str">
        <f t="shared" ca="1" si="40"/>
        <v/>
      </c>
      <c r="BA36" s="26" t="str">
        <f t="shared" ca="1" si="40"/>
        <v/>
      </c>
      <c r="BB36" s="26" t="str">
        <f t="shared" ca="1" si="40"/>
        <v/>
      </c>
      <c r="BC36" s="26" t="str">
        <f t="shared" ca="1" si="40"/>
        <v/>
      </c>
      <c r="BD36" s="26" t="str">
        <f t="shared" ca="1" si="40"/>
        <v/>
      </c>
      <c r="BE36" s="26" t="str">
        <f t="shared" ca="1" si="40"/>
        <v/>
      </c>
      <c r="BF36" s="26" t="str">
        <f t="shared" ca="1" si="40"/>
        <v/>
      </c>
      <c r="BG36" s="26" t="str">
        <f t="shared" ca="1" si="40"/>
        <v/>
      </c>
      <c r="BH36" s="26" t="str">
        <f t="shared" ca="1" si="40"/>
        <v/>
      </c>
      <c r="BI36" s="26" t="str">
        <f t="shared" ca="1" si="40"/>
        <v/>
      </c>
      <c r="BJ36" s="26" t="str">
        <f t="shared" ca="1" si="40"/>
        <v/>
      </c>
      <c r="BK36" s="26" t="str">
        <f t="shared" ca="1" si="40"/>
        <v/>
      </c>
      <c r="BL36" s="26" t="str">
        <f t="shared" ca="1" si="40"/>
        <v/>
      </c>
    </row>
    <row r="37" spans="1:64" s="1" customFormat="1" ht="40" customHeight="1" x14ac:dyDescent="0.2">
      <c r="A37" s="9"/>
      <c r="B37" s="131" t="s">
        <v>49</v>
      </c>
      <c r="C37" s="57" t="s">
        <v>35</v>
      </c>
      <c r="D37" s="57" t="s">
        <v>24</v>
      </c>
      <c r="E37" s="58">
        <v>1</v>
      </c>
      <c r="F37" s="59">
        <v>45952</v>
      </c>
      <c r="G37" s="60">
        <v>7</v>
      </c>
      <c r="H37" s="57"/>
      <c r="I37" s="26"/>
      <c r="J37" s="26"/>
      <c r="K37" s="26"/>
      <c r="L37" s="26"/>
      <c r="M37" s="26"/>
      <c r="N37" s="26"/>
      <c r="O37" s="26"/>
      <c r="P37" s="123"/>
      <c r="Q37" s="123"/>
      <c r="R37" s="123"/>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row>
    <row r="38" spans="1:64" s="1" customFormat="1" ht="40" customHeight="1" x14ac:dyDescent="0.2">
      <c r="A38" s="9"/>
      <c r="B38" s="131" t="s">
        <v>50</v>
      </c>
      <c r="C38" s="57" t="s">
        <v>35</v>
      </c>
      <c r="D38" s="57" t="s">
        <v>24</v>
      </c>
      <c r="E38" s="58">
        <v>1</v>
      </c>
      <c r="F38" s="59">
        <v>45952</v>
      </c>
      <c r="G38" s="60">
        <v>7</v>
      </c>
      <c r="H38" s="57"/>
      <c r="I38" s="26" t="str">
        <f t="shared" ca="1" si="25"/>
        <v/>
      </c>
      <c r="J38" s="26" t="str">
        <f t="shared" ca="1" si="25"/>
        <v/>
      </c>
      <c r="K38" s="26" t="str">
        <f t="shared" ca="1" si="25"/>
        <v/>
      </c>
      <c r="L38" s="26" t="str">
        <f t="shared" ca="1" si="25"/>
        <v/>
      </c>
      <c r="M38" s="26" t="str">
        <f t="shared" ca="1" si="25"/>
        <v/>
      </c>
      <c r="N38" s="26" t="str">
        <f t="shared" ca="1" si="25"/>
        <v/>
      </c>
      <c r="O38" s="26" t="str">
        <f t="shared" ca="1" si="25"/>
        <v/>
      </c>
      <c r="P38" s="26" t="str">
        <f t="shared" ca="1" si="25"/>
        <v/>
      </c>
      <c r="Q38" s="26" t="str">
        <f t="shared" ca="1" si="25"/>
        <v/>
      </c>
      <c r="R38" s="123" t="str">
        <f t="shared" ca="1" si="25"/>
        <v/>
      </c>
      <c r="S38" s="123" t="str">
        <f t="shared" ca="1" si="25"/>
        <v/>
      </c>
      <c r="T38" s="123" t="str">
        <f t="shared" ca="1" si="25"/>
        <v/>
      </c>
      <c r="U38" s="26" t="str">
        <f t="shared" ca="1" si="25"/>
        <v/>
      </c>
      <c r="V38" s="26" t="str">
        <f t="shared" ca="1" si="25"/>
        <v/>
      </c>
      <c r="W38" s="26" t="str">
        <f t="shared" ca="1" si="25"/>
        <v/>
      </c>
      <c r="X38" s="26" t="str">
        <f t="shared" ca="1" si="25"/>
        <v/>
      </c>
      <c r="Y38" s="26" t="str">
        <f t="shared" ref="Y38:AN40" ca="1" si="42">IF(AND($C38="Goal",Y$7&gt;=$F38,Y$7&lt;=$F38+$G38-1),2,IF(AND($C38="Milestone",Y$7&gt;=$F38,Y$7&lt;=$F38+$G38-1),1,""))</f>
        <v/>
      </c>
      <c r="Z38" s="26" t="str">
        <f t="shared" ca="1" si="42"/>
        <v/>
      </c>
      <c r="AA38" s="26" t="str">
        <f t="shared" ca="1" si="42"/>
        <v/>
      </c>
      <c r="AB38" s="26" t="str">
        <f t="shared" ca="1" si="42"/>
        <v/>
      </c>
      <c r="AC38" s="26" t="str">
        <f t="shared" ca="1" si="26"/>
        <v/>
      </c>
      <c r="AD38" s="26" t="str">
        <f t="shared" ca="1" si="26"/>
        <v/>
      </c>
      <c r="AE38" s="26" t="str">
        <f t="shared" ca="1" si="26"/>
        <v/>
      </c>
      <c r="AF38" s="26" t="str">
        <f t="shared" ca="1" si="26"/>
        <v/>
      </c>
      <c r="AG38" s="26" t="str">
        <f t="shared" ca="1" si="26"/>
        <v/>
      </c>
      <c r="AH38" s="26" t="str">
        <f t="shared" ca="1" si="26"/>
        <v/>
      </c>
      <c r="AI38" s="26" t="str">
        <f t="shared" ca="1" si="26"/>
        <v/>
      </c>
      <c r="AJ38" s="26" t="str">
        <f t="shared" ca="1" si="26"/>
        <v/>
      </c>
      <c r="AK38" s="26" t="str">
        <f t="shared" ca="1" si="26"/>
        <v/>
      </c>
      <c r="AL38" s="26" t="str">
        <f t="shared" ca="1" si="26"/>
        <v/>
      </c>
      <c r="AM38" s="26" t="str">
        <f t="shared" ca="1" si="26"/>
        <v/>
      </c>
      <c r="AN38" s="26" t="str">
        <f t="shared" ca="1" si="26"/>
        <v/>
      </c>
      <c r="AO38" s="26" t="str">
        <f t="shared" ref="AO38:BD40" ca="1" si="43">IF(AND($C38="Goal",AO$7&gt;=$F38,AO$7&lt;=$F38+$G38-1),2,IF(AND($C38="Milestone",AO$7&gt;=$F38,AO$7&lt;=$F38+$G38-1),1,""))</f>
        <v/>
      </c>
      <c r="AP38" s="26" t="str">
        <f t="shared" ca="1" si="43"/>
        <v/>
      </c>
      <c r="AQ38" s="26" t="str">
        <f t="shared" ca="1" si="43"/>
        <v/>
      </c>
      <c r="AR38" s="26" t="str">
        <f t="shared" ca="1" si="43"/>
        <v/>
      </c>
      <c r="AS38" s="26" t="str">
        <f t="shared" ca="1" si="43"/>
        <v/>
      </c>
      <c r="AT38" s="26" t="str">
        <f t="shared" ca="1" si="43"/>
        <v/>
      </c>
      <c r="AU38" s="26" t="str">
        <f t="shared" ca="1" si="43"/>
        <v/>
      </c>
      <c r="AV38" s="26" t="str">
        <f t="shared" ca="1" si="43"/>
        <v/>
      </c>
      <c r="AW38" s="26" t="str">
        <f t="shared" ca="1" si="28"/>
        <v/>
      </c>
      <c r="AX38" s="26" t="str">
        <f t="shared" ca="1" si="28"/>
        <v/>
      </c>
      <c r="AY38" s="26" t="str">
        <f t="shared" ca="1" si="28"/>
        <v/>
      </c>
      <c r="AZ38" s="26" t="str">
        <f t="shared" ca="1" si="28"/>
        <v/>
      </c>
      <c r="BA38" s="26" t="str">
        <f t="shared" ca="1" si="28"/>
        <v/>
      </c>
      <c r="BB38" s="26" t="str">
        <f t="shared" ca="1" si="28"/>
        <v/>
      </c>
      <c r="BC38" s="26" t="str">
        <f t="shared" ca="1" si="28"/>
        <v/>
      </c>
      <c r="BD38" s="26" t="str">
        <f t="shared" ca="1" si="28"/>
        <v/>
      </c>
      <c r="BE38" s="26" t="str">
        <f t="shared" ca="1" si="28"/>
        <v/>
      </c>
      <c r="BF38" s="26" t="str">
        <f t="shared" ca="1" si="28"/>
        <v/>
      </c>
      <c r="BG38" s="26" t="str">
        <f t="shared" ca="1" si="28"/>
        <v/>
      </c>
      <c r="BH38" s="26" t="str">
        <f t="shared" ca="1" si="28"/>
        <v/>
      </c>
      <c r="BI38" s="26" t="str">
        <f t="shared" ca="1" si="28"/>
        <v/>
      </c>
      <c r="BJ38" s="26" t="str">
        <f t="shared" ca="1" si="28"/>
        <v/>
      </c>
      <c r="BK38" s="26" t="str">
        <f t="shared" ca="1" si="28"/>
        <v/>
      </c>
      <c r="BL38" s="26" t="str">
        <f t="shared" ca="1" si="28"/>
        <v/>
      </c>
    </row>
    <row r="39" spans="1:64" s="1" customFormat="1" ht="40" customHeight="1" x14ac:dyDescent="0.2">
      <c r="A39" s="9"/>
      <c r="B39" s="131" t="s">
        <v>51</v>
      </c>
      <c r="C39" s="57" t="s">
        <v>35</v>
      </c>
      <c r="D39" s="57" t="s">
        <v>26</v>
      </c>
      <c r="E39" s="58">
        <v>1</v>
      </c>
      <c r="F39" s="59">
        <v>45959</v>
      </c>
      <c r="G39" s="60">
        <v>7</v>
      </c>
      <c r="H39" s="57"/>
      <c r="I39" s="26" t="str">
        <f t="shared" ca="1" si="25"/>
        <v/>
      </c>
      <c r="J39" s="26" t="str">
        <f t="shared" ca="1" si="25"/>
        <v/>
      </c>
      <c r="K39" s="26" t="str">
        <f t="shared" ca="1" si="25"/>
        <v/>
      </c>
      <c r="L39" s="26" t="str">
        <f t="shared" ca="1" si="25"/>
        <v/>
      </c>
      <c r="M39" s="26" t="str">
        <f t="shared" ca="1" si="25"/>
        <v/>
      </c>
      <c r="N39" s="26" t="str">
        <f t="shared" ca="1" si="25"/>
        <v/>
      </c>
      <c r="O39" s="26" t="str">
        <f t="shared" ca="1" si="25"/>
        <v/>
      </c>
      <c r="P39" s="26" t="str">
        <f t="shared" ca="1" si="25"/>
        <v/>
      </c>
      <c r="Q39" s="26" t="str">
        <f t="shared" ca="1" si="25"/>
        <v/>
      </c>
      <c r="R39" s="26" t="str">
        <f t="shared" ca="1" si="25"/>
        <v/>
      </c>
      <c r="S39" s="26" t="str">
        <f t="shared" ca="1" si="25"/>
        <v/>
      </c>
      <c r="T39" s="26" t="str">
        <f t="shared" ca="1" si="25"/>
        <v/>
      </c>
      <c r="U39" s="26" t="str">
        <f t="shared" ca="1" si="25"/>
        <v/>
      </c>
      <c r="V39" s="26" t="str">
        <f t="shared" ca="1" si="25"/>
        <v/>
      </c>
      <c r="W39" s="26" t="str">
        <f t="shared" ca="1" si="25"/>
        <v/>
      </c>
      <c r="X39" s="26" t="str">
        <f t="shared" ca="1" si="25"/>
        <v/>
      </c>
      <c r="Y39" s="26" t="str">
        <f t="shared" ca="1" si="42"/>
        <v/>
      </c>
      <c r="Z39" s="26" t="str">
        <f t="shared" ca="1" si="42"/>
        <v/>
      </c>
      <c r="AA39" s="26" t="str">
        <f t="shared" ca="1" si="42"/>
        <v/>
      </c>
      <c r="AB39" s="26" t="str">
        <f t="shared" ca="1" si="42"/>
        <v/>
      </c>
      <c r="AC39" s="26" t="str">
        <f t="shared" ca="1" si="42"/>
        <v/>
      </c>
      <c r="AD39" s="26" t="str">
        <f t="shared" ca="1" si="42"/>
        <v/>
      </c>
      <c r="AE39" s="26" t="str">
        <f t="shared" ca="1" si="42"/>
        <v/>
      </c>
      <c r="AF39" s="26" t="str">
        <f t="shared" ca="1" si="42"/>
        <v/>
      </c>
      <c r="AG39" s="26" t="str">
        <f t="shared" ca="1" si="42"/>
        <v/>
      </c>
      <c r="AH39" s="26" t="str">
        <f t="shared" ca="1" si="42"/>
        <v/>
      </c>
      <c r="AI39" s="26" t="str">
        <f t="shared" ca="1" si="42"/>
        <v/>
      </c>
      <c r="AJ39" s="26" t="str">
        <f t="shared" ca="1" si="42"/>
        <v/>
      </c>
      <c r="AK39" s="26" t="str">
        <f t="shared" ca="1" si="42"/>
        <v/>
      </c>
      <c r="AL39" s="26" t="str">
        <f t="shared" ca="1" si="42"/>
        <v/>
      </c>
      <c r="AM39" s="26" t="str">
        <f t="shared" ca="1" si="42"/>
        <v/>
      </c>
      <c r="AN39" s="26" t="str">
        <f t="shared" ca="1" si="42"/>
        <v/>
      </c>
      <c r="AO39" s="26" t="str">
        <f t="shared" ca="1" si="43"/>
        <v/>
      </c>
      <c r="AP39" s="26" t="str">
        <f t="shared" ca="1" si="43"/>
        <v/>
      </c>
      <c r="AQ39" s="26" t="str">
        <f t="shared" ca="1" si="43"/>
        <v/>
      </c>
      <c r="AR39" s="26" t="str">
        <f t="shared" ca="1" si="43"/>
        <v/>
      </c>
      <c r="AS39" s="26" t="str">
        <f t="shared" ca="1" si="43"/>
        <v/>
      </c>
      <c r="AT39" s="26" t="str">
        <f t="shared" ca="1" si="43"/>
        <v/>
      </c>
      <c r="AU39" s="26" t="str">
        <f t="shared" ca="1" si="43"/>
        <v/>
      </c>
      <c r="AV39" s="26" t="str">
        <f t="shared" ca="1" si="43"/>
        <v/>
      </c>
      <c r="AW39" s="26" t="str">
        <f t="shared" ca="1" si="43"/>
        <v/>
      </c>
      <c r="AX39" s="26" t="str">
        <f t="shared" ca="1" si="43"/>
        <v/>
      </c>
      <c r="AY39" s="26" t="str">
        <f t="shared" ca="1" si="43"/>
        <v/>
      </c>
      <c r="AZ39" s="26" t="str">
        <f t="shared" ca="1" si="43"/>
        <v/>
      </c>
      <c r="BA39" s="26" t="str">
        <f t="shared" ca="1" si="43"/>
        <v/>
      </c>
      <c r="BB39" s="26" t="str">
        <f t="shared" ca="1" si="43"/>
        <v/>
      </c>
      <c r="BC39" s="26" t="str">
        <f t="shared" ca="1" si="43"/>
        <v/>
      </c>
      <c r="BD39" s="26" t="str">
        <f t="shared" ca="1" si="43"/>
        <v/>
      </c>
      <c r="BE39" s="26" t="str">
        <f t="shared" ca="1" si="28"/>
        <v/>
      </c>
      <c r="BF39" s="26" t="str">
        <f t="shared" ca="1" si="28"/>
        <v/>
      </c>
      <c r="BG39" s="26" t="str">
        <f t="shared" ca="1" si="28"/>
        <v/>
      </c>
      <c r="BH39" s="26" t="str">
        <f t="shared" ca="1" si="28"/>
        <v/>
      </c>
      <c r="BI39" s="26" t="str">
        <f t="shared" ca="1" si="28"/>
        <v/>
      </c>
      <c r="BJ39" s="26" t="str">
        <f t="shared" ca="1" si="28"/>
        <v/>
      </c>
      <c r="BK39" s="26" t="str">
        <f t="shared" ca="1" si="28"/>
        <v/>
      </c>
      <c r="BL39" s="26" t="str">
        <f t="shared" ca="1" si="28"/>
        <v/>
      </c>
    </row>
    <row r="40" spans="1:64" s="1" customFormat="1" ht="40" customHeight="1" x14ac:dyDescent="0.2">
      <c r="A40" s="9"/>
      <c r="B40" s="134" t="s">
        <v>52</v>
      </c>
      <c r="C40" s="57" t="s">
        <v>35</v>
      </c>
      <c r="D40" s="57" t="s">
        <v>24</v>
      </c>
      <c r="E40" s="58">
        <v>1</v>
      </c>
      <c r="F40" s="59">
        <v>45959</v>
      </c>
      <c r="G40" s="60">
        <v>7</v>
      </c>
      <c r="H40" s="57"/>
      <c r="I40" s="26" t="str">
        <f t="shared" ca="1" si="25"/>
        <v/>
      </c>
      <c r="J40" s="26" t="str">
        <f t="shared" ca="1" si="25"/>
        <v/>
      </c>
      <c r="K40" s="123"/>
      <c r="L40" s="26" t="str">
        <f t="shared" ca="1" si="25"/>
        <v/>
      </c>
      <c r="M40" s="26" t="str">
        <f t="shared" ca="1" si="25"/>
        <v/>
      </c>
      <c r="N40" s="26" t="str">
        <f t="shared" ca="1" si="25"/>
        <v/>
      </c>
      <c r="O40" s="26" t="str">
        <f t="shared" ca="1" si="25"/>
        <v/>
      </c>
      <c r="P40" s="26" t="str">
        <f t="shared" ca="1" si="25"/>
        <v/>
      </c>
      <c r="Q40" s="26" t="str">
        <f t="shared" ca="1" si="25"/>
        <v/>
      </c>
      <c r="R40" s="26" t="str">
        <f t="shared" ca="1" si="25"/>
        <v/>
      </c>
      <c r="S40" s="26" t="str">
        <f t="shared" ca="1" si="25"/>
        <v/>
      </c>
      <c r="T40" s="26" t="str">
        <f t="shared" ca="1" si="25"/>
        <v/>
      </c>
      <c r="U40" s="26" t="str">
        <f t="shared" ca="1" si="25"/>
        <v/>
      </c>
      <c r="V40" s="26" t="str">
        <f t="shared" ca="1" si="25"/>
        <v/>
      </c>
      <c r="W40" s="26" t="str">
        <f t="shared" ca="1" si="25"/>
        <v/>
      </c>
      <c r="X40" s="26" t="str">
        <f t="shared" ca="1" si="25"/>
        <v/>
      </c>
      <c r="Y40" s="26" t="str">
        <f t="shared" ca="1" si="42"/>
        <v/>
      </c>
      <c r="Z40" s="26" t="str">
        <f t="shared" ca="1" si="42"/>
        <v/>
      </c>
      <c r="AA40" s="26" t="str">
        <f t="shared" ca="1" si="42"/>
        <v/>
      </c>
      <c r="AB40" s="26" t="str">
        <f t="shared" ca="1" si="42"/>
        <v/>
      </c>
      <c r="AC40" s="26" t="str">
        <f t="shared" ca="1" si="42"/>
        <v/>
      </c>
      <c r="AD40" s="26" t="str">
        <f t="shared" ca="1" si="42"/>
        <v/>
      </c>
      <c r="AE40" s="26" t="str">
        <f t="shared" ca="1" si="42"/>
        <v/>
      </c>
      <c r="AF40" s="26" t="str">
        <f t="shared" ca="1" si="42"/>
        <v/>
      </c>
      <c r="AG40" s="26" t="str">
        <f t="shared" ca="1" si="42"/>
        <v/>
      </c>
      <c r="AH40" s="26" t="str">
        <f t="shared" ca="1" si="42"/>
        <v/>
      </c>
      <c r="AI40" s="26" t="str">
        <f t="shared" ca="1" si="42"/>
        <v/>
      </c>
      <c r="AJ40" s="26" t="str">
        <f t="shared" ca="1" si="42"/>
        <v/>
      </c>
      <c r="AK40" s="26" t="str">
        <f t="shared" ca="1" si="42"/>
        <v/>
      </c>
      <c r="AL40" s="26" t="str">
        <f t="shared" ca="1" si="42"/>
        <v/>
      </c>
      <c r="AM40" s="26" t="str">
        <f t="shared" ca="1" si="42"/>
        <v/>
      </c>
      <c r="AN40" s="26" t="str">
        <f t="shared" ca="1" si="42"/>
        <v/>
      </c>
      <c r="AO40" s="26" t="str">
        <f t="shared" ca="1" si="43"/>
        <v/>
      </c>
      <c r="AP40" s="26" t="str">
        <f t="shared" ca="1" si="43"/>
        <v/>
      </c>
      <c r="AQ40" s="26" t="str">
        <f t="shared" ca="1" si="43"/>
        <v/>
      </c>
      <c r="AR40" s="26" t="str">
        <f t="shared" ca="1" si="43"/>
        <v/>
      </c>
      <c r="AS40" s="26" t="str">
        <f t="shared" ca="1" si="43"/>
        <v/>
      </c>
      <c r="AT40" s="26" t="str">
        <f t="shared" ca="1" si="43"/>
        <v/>
      </c>
      <c r="AU40" s="26" t="str">
        <f t="shared" ca="1" si="43"/>
        <v/>
      </c>
      <c r="AV40" s="26" t="str">
        <f t="shared" ca="1" si="43"/>
        <v/>
      </c>
      <c r="AW40" s="26" t="str">
        <f t="shared" ca="1" si="43"/>
        <v/>
      </c>
      <c r="AX40" s="26" t="str">
        <f t="shared" ca="1" si="43"/>
        <v/>
      </c>
      <c r="AY40" s="26" t="str">
        <f t="shared" ca="1" si="43"/>
        <v/>
      </c>
      <c r="AZ40" s="26" t="str">
        <f t="shared" ca="1" si="43"/>
        <v/>
      </c>
      <c r="BA40" s="26" t="str">
        <f t="shared" ca="1" si="43"/>
        <v/>
      </c>
      <c r="BB40" s="26" t="str">
        <f t="shared" ca="1" si="43"/>
        <v/>
      </c>
      <c r="BC40" s="26" t="str">
        <f t="shared" ca="1" si="43"/>
        <v/>
      </c>
      <c r="BD40" s="26" t="str">
        <f t="shared" ca="1" si="43"/>
        <v/>
      </c>
      <c r="BE40" s="26" t="str">
        <f t="shared" ca="1" si="28"/>
        <v/>
      </c>
      <c r="BF40" s="26" t="str">
        <f t="shared" ca="1" si="28"/>
        <v/>
      </c>
      <c r="BG40" s="26" t="str">
        <f t="shared" ca="1" si="28"/>
        <v/>
      </c>
      <c r="BH40" s="26" t="str">
        <f t="shared" ca="1" si="28"/>
        <v/>
      </c>
      <c r="BI40" s="26" t="str">
        <f t="shared" ca="1" si="28"/>
        <v/>
      </c>
      <c r="BJ40" s="26" t="str">
        <f t="shared" ca="1" si="28"/>
        <v/>
      </c>
      <c r="BK40" s="26" t="str">
        <f t="shared" ca="1" si="28"/>
        <v/>
      </c>
      <c r="BL40" s="26" t="str">
        <f t="shared" ca="1" si="28"/>
        <v/>
      </c>
    </row>
    <row r="41" spans="1:64" s="1" customFormat="1" ht="40" customHeight="1" x14ac:dyDescent="0.2">
      <c r="A41" s="9"/>
      <c r="B41" s="134" t="s">
        <v>53</v>
      </c>
      <c r="C41" s="57" t="s">
        <v>35</v>
      </c>
      <c r="D41" s="57" t="s">
        <v>54</v>
      </c>
      <c r="E41" s="58">
        <v>1</v>
      </c>
      <c r="F41" s="59">
        <v>45951</v>
      </c>
      <c r="G41" s="60">
        <v>7</v>
      </c>
      <c r="H41" s="57"/>
      <c r="I41" s="26"/>
      <c r="J41" s="26"/>
      <c r="K41" s="123"/>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row>
    <row r="42" spans="1:64" s="1" customFormat="1" ht="40" customHeight="1" x14ac:dyDescent="0.2">
      <c r="A42" s="9"/>
      <c r="B42" s="134" t="s">
        <v>55</v>
      </c>
      <c r="C42" s="57" t="s">
        <v>35</v>
      </c>
      <c r="D42" s="57" t="s">
        <v>54</v>
      </c>
      <c r="E42" s="58">
        <v>1</v>
      </c>
      <c r="F42" s="59">
        <v>45951</v>
      </c>
      <c r="G42" s="60">
        <v>5</v>
      </c>
      <c r="H42" s="57"/>
      <c r="I42" s="26" t="str">
        <f t="shared" ca="1" si="18"/>
        <v/>
      </c>
      <c r="J42" s="26" t="str">
        <f t="shared" ca="1" si="18"/>
        <v/>
      </c>
      <c r="K42" s="26" t="str">
        <f t="shared" ca="1" si="18"/>
        <v/>
      </c>
      <c r="L42" s="26" t="str">
        <f t="shared" ca="1" si="18"/>
        <v/>
      </c>
      <c r="M42" s="123" t="str">
        <f t="shared" ca="1" si="18"/>
        <v/>
      </c>
      <c r="N42" s="123"/>
      <c r="O42" s="123" t="str">
        <f t="shared" ref="O42:P43" ca="1" si="44">IF(AND($C42="Goal",O$7&gt;=$F42,O$7&lt;=$F42+$G42-1),2,IF(AND($C42="Milestone",O$7&gt;=$F42,O$7&lt;=$F42+$G42-1),1,""))</f>
        <v/>
      </c>
      <c r="P42" s="124" t="str">
        <f t="shared" ref="P42" si="45">B29</f>
        <v>build the recipe detail page</v>
      </c>
      <c r="Q42" s="26" t="str">
        <f t="shared" ref="Q42:AF43" ca="1" si="46">IF(AND($C42="Goal",Q$7&gt;=$F42,Q$7&lt;=$F42+$G42-1),2,IF(AND($C42="Milestone",Q$7&gt;=$F42,Q$7&lt;=$F42+$G42-1),1,""))</f>
        <v/>
      </c>
      <c r="R42" s="26" t="str">
        <f t="shared" ca="1" si="46"/>
        <v/>
      </c>
      <c r="S42" s="26" t="str">
        <f t="shared" ca="1" si="46"/>
        <v/>
      </c>
      <c r="T42" s="26" t="str">
        <f t="shared" ca="1" si="46"/>
        <v/>
      </c>
      <c r="U42" s="26" t="str">
        <f t="shared" ca="1" si="46"/>
        <v/>
      </c>
      <c r="V42" s="26" t="str">
        <f t="shared" ca="1" si="46"/>
        <v/>
      </c>
      <c r="W42" s="26" t="str">
        <f t="shared" ca="1" si="46"/>
        <v/>
      </c>
      <c r="X42" s="26" t="str">
        <f t="shared" ca="1" si="46"/>
        <v/>
      </c>
      <c r="Y42" s="26" t="str">
        <f t="shared" ca="1" si="46"/>
        <v/>
      </c>
      <c r="Z42" s="26" t="str">
        <f t="shared" ca="1" si="46"/>
        <v/>
      </c>
      <c r="AA42" s="26" t="str">
        <f t="shared" ca="1" si="46"/>
        <v/>
      </c>
      <c r="AB42" s="26" t="str">
        <f t="shared" ca="1" si="46"/>
        <v/>
      </c>
      <c r="AC42" s="26" t="str">
        <f t="shared" ca="1" si="46"/>
        <v/>
      </c>
      <c r="AD42" s="26" t="str">
        <f t="shared" ca="1" si="46"/>
        <v/>
      </c>
      <c r="AE42" s="26" t="str">
        <f t="shared" ca="1" si="46"/>
        <v/>
      </c>
      <c r="AF42" s="26" t="str">
        <f t="shared" ca="1" si="46"/>
        <v/>
      </c>
      <c r="AG42" s="26" t="str">
        <f t="shared" ref="AG42:AV43" ca="1" si="47">IF(AND($C42="Goal",AG$7&gt;=$F42,AG$7&lt;=$F42+$G42-1),2,IF(AND($C42="Milestone",AG$7&gt;=$F42,AG$7&lt;=$F42+$G42-1),1,""))</f>
        <v/>
      </c>
      <c r="AH42" s="26" t="str">
        <f t="shared" ca="1" si="47"/>
        <v/>
      </c>
      <c r="AI42" s="26" t="str">
        <f t="shared" ca="1" si="47"/>
        <v/>
      </c>
      <c r="AJ42" s="26" t="str">
        <f t="shared" ca="1" si="47"/>
        <v/>
      </c>
      <c r="AK42" s="26" t="str">
        <f t="shared" ca="1" si="47"/>
        <v/>
      </c>
      <c r="AL42" s="26" t="str">
        <f t="shared" ca="1" si="47"/>
        <v/>
      </c>
      <c r="AM42" s="26" t="str">
        <f t="shared" ca="1" si="47"/>
        <v/>
      </c>
      <c r="AN42" s="26" t="str">
        <f t="shared" ca="1" si="47"/>
        <v/>
      </c>
      <c r="AO42" s="26" t="str">
        <f t="shared" ca="1" si="47"/>
        <v/>
      </c>
      <c r="AP42" s="26" t="str">
        <f t="shared" ca="1" si="47"/>
        <v/>
      </c>
      <c r="AQ42" s="26" t="str">
        <f t="shared" ca="1" si="47"/>
        <v/>
      </c>
      <c r="AR42" s="26" t="str">
        <f t="shared" ca="1" si="47"/>
        <v/>
      </c>
      <c r="AS42" s="26" t="str">
        <f t="shared" ca="1" si="47"/>
        <v/>
      </c>
      <c r="AT42" s="26" t="str">
        <f t="shared" ca="1" si="47"/>
        <v/>
      </c>
      <c r="AU42" s="26" t="str">
        <f t="shared" ca="1" si="47"/>
        <v/>
      </c>
      <c r="AV42" s="26" t="str">
        <f t="shared" ca="1" si="47"/>
        <v/>
      </c>
      <c r="AW42" s="26" t="str">
        <f t="shared" ref="AW42:BL43" ca="1" si="48">IF(AND($C42="Goal",AW$7&gt;=$F42,AW$7&lt;=$F42+$G42-1),2,IF(AND($C42="Milestone",AW$7&gt;=$F42,AW$7&lt;=$F42+$G42-1),1,""))</f>
        <v/>
      </c>
      <c r="AX42" s="26" t="str">
        <f t="shared" ca="1" si="48"/>
        <v/>
      </c>
      <c r="AY42" s="26" t="str">
        <f t="shared" ca="1" si="48"/>
        <v/>
      </c>
      <c r="AZ42" s="26" t="str">
        <f t="shared" ca="1" si="48"/>
        <v/>
      </c>
      <c r="BA42" s="26" t="str">
        <f t="shared" ca="1" si="48"/>
        <v/>
      </c>
      <c r="BB42" s="26" t="str">
        <f t="shared" ca="1" si="48"/>
        <v/>
      </c>
      <c r="BC42" s="26" t="str">
        <f t="shared" ca="1" si="48"/>
        <v/>
      </c>
      <c r="BD42" s="26" t="str">
        <f t="shared" ca="1" si="48"/>
        <v/>
      </c>
      <c r="BE42" s="26" t="str">
        <f t="shared" ca="1" si="48"/>
        <v/>
      </c>
      <c r="BF42" s="26" t="str">
        <f t="shared" ca="1" si="48"/>
        <v/>
      </c>
      <c r="BG42" s="26" t="str">
        <f t="shared" ca="1" si="48"/>
        <v/>
      </c>
      <c r="BH42" s="26" t="str">
        <f t="shared" ca="1" si="48"/>
        <v/>
      </c>
      <c r="BI42" s="26" t="str">
        <f t="shared" ca="1" si="48"/>
        <v/>
      </c>
      <c r="BJ42" s="26" t="str">
        <f t="shared" ca="1" si="48"/>
        <v/>
      </c>
      <c r="BK42" s="26" t="str">
        <f t="shared" ca="1" si="48"/>
        <v/>
      </c>
      <c r="BL42" s="26" t="str">
        <f t="shared" ca="1" si="48"/>
        <v/>
      </c>
    </row>
    <row r="43" spans="1:64" s="1" customFormat="1" ht="40" customHeight="1" x14ac:dyDescent="0.2">
      <c r="A43" s="9"/>
      <c r="B43" s="134" t="s">
        <v>56</v>
      </c>
      <c r="C43" s="57" t="s">
        <v>35</v>
      </c>
      <c r="D43" s="57" t="s">
        <v>24</v>
      </c>
      <c r="E43" s="58">
        <v>1</v>
      </c>
      <c r="F43" s="59">
        <v>45951</v>
      </c>
      <c r="G43" s="60">
        <v>5</v>
      </c>
      <c r="H43" s="57"/>
      <c r="I43" s="26" t="str">
        <f t="shared" ca="1" si="18"/>
        <v/>
      </c>
      <c r="J43" s="26" t="str">
        <f t="shared" ca="1" si="18"/>
        <v/>
      </c>
      <c r="K43" s="26" t="str">
        <f t="shared" ca="1" si="18"/>
        <v/>
      </c>
      <c r="L43" s="26" t="str">
        <f t="shared" ca="1" si="18"/>
        <v/>
      </c>
      <c r="M43" s="26" t="str">
        <f t="shared" ca="1" si="18"/>
        <v/>
      </c>
      <c r="N43" s="26" t="str">
        <f t="shared" ca="1" si="18"/>
        <v/>
      </c>
      <c r="O43" s="26" t="str">
        <f t="shared" ca="1" si="44"/>
        <v/>
      </c>
      <c r="P43" s="123" t="str">
        <f t="shared" ca="1" si="44"/>
        <v/>
      </c>
      <c r="Q43" s="123" t="str">
        <f t="shared" ca="1" si="46"/>
        <v/>
      </c>
      <c r="R43" s="123" t="str">
        <f t="shared" ref="R43" ca="1" si="49">S43</f>
        <v/>
      </c>
      <c r="S43" s="26" t="str">
        <f t="shared" ca="1" si="46"/>
        <v/>
      </c>
      <c r="T43" s="26" t="str">
        <f t="shared" ca="1" si="46"/>
        <v/>
      </c>
      <c r="U43" s="26" t="str">
        <f t="shared" ca="1" si="46"/>
        <v/>
      </c>
      <c r="V43" s="26" t="str">
        <f t="shared" ca="1" si="46"/>
        <v/>
      </c>
      <c r="W43" s="26" t="str">
        <f t="shared" ca="1" si="46"/>
        <v/>
      </c>
      <c r="X43" s="26" t="str">
        <f t="shared" ca="1" si="46"/>
        <v/>
      </c>
      <c r="Y43" s="26" t="str">
        <f t="shared" ca="1" si="46"/>
        <v/>
      </c>
      <c r="Z43" s="26" t="str">
        <f t="shared" ca="1" si="46"/>
        <v/>
      </c>
      <c r="AA43" s="26" t="str">
        <f t="shared" ca="1" si="46"/>
        <v/>
      </c>
      <c r="AB43" s="26" t="str">
        <f t="shared" ca="1" si="46"/>
        <v/>
      </c>
      <c r="AC43" s="26" t="str">
        <f t="shared" ca="1" si="46"/>
        <v/>
      </c>
      <c r="AD43" s="26" t="str">
        <f t="shared" ca="1" si="46"/>
        <v/>
      </c>
      <c r="AE43" s="26" t="str">
        <f t="shared" ca="1" si="46"/>
        <v/>
      </c>
      <c r="AF43" s="26" t="str">
        <f t="shared" ca="1" si="46"/>
        <v/>
      </c>
      <c r="AG43" s="26" t="str">
        <f t="shared" ca="1" si="47"/>
        <v/>
      </c>
      <c r="AH43" s="26" t="str">
        <f t="shared" ca="1" si="47"/>
        <v/>
      </c>
      <c r="AI43" s="26" t="str">
        <f t="shared" ca="1" si="47"/>
        <v/>
      </c>
      <c r="AJ43" s="26" t="str">
        <f t="shared" ca="1" si="47"/>
        <v/>
      </c>
      <c r="AK43" s="26" t="str">
        <f t="shared" ca="1" si="47"/>
        <v/>
      </c>
      <c r="AL43" s="26" t="str">
        <f t="shared" ca="1" si="47"/>
        <v/>
      </c>
      <c r="AM43" s="26" t="str">
        <f t="shared" ca="1" si="47"/>
        <v/>
      </c>
      <c r="AN43" s="26" t="str">
        <f t="shared" ca="1" si="47"/>
        <v/>
      </c>
      <c r="AO43" s="26" t="str">
        <f t="shared" ca="1" si="47"/>
        <v/>
      </c>
      <c r="AP43" s="26" t="str">
        <f t="shared" ca="1" si="47"/>
        <v/>
      </c>
      <c r="AQ43" s="26" t="str">
        <f t="shared" ca="1" si="47"/>
        <v/>
      </c>
      <c r="AR43" s="26" t="str">
        <f t="shared" ca="1" si="47"/>
        <v/>
      </c>
      <c r="AS43" s="26" t="str">
        <f t="shared" ca="1" si="47"/>
        <v/>
      </c>
      <c r="AT43" s="26" t="str">
        <f t="shared" ca="1" si="47"/>
        <v/>
      </c>
      <c r="AU43" s="26" t="str">
        <f t="shared" ca="1" si="47"/>
        <v/>
      </c>
      <c r="AV43" s="26" t="str">
        <f t="shared" ca="1" si="47"/>
        <v/>
      </c>
      <c r="AW43" s="26" t="str">
        <f t="shared" ca="1" si="48"/>
        <v/>
      </c>
      <c r="AX43" s="26" t="str">
        <f t="shared" ca="1" si="48"/>
        <v/>
      </c>
      <c r="AY43" s="26" t="str">
        <f t="shared" ca="1" si="48"/>
        <v/>
      </c>
      <c r="AZ43" s="26" t="str">
        <f t="shared" ca="1" si="48"/>
        <v/>
      </c>
      <c r="BA43" s="26" t="str">
        <f t="shared" ca="1" si="48"/>
        <v/>
      </c>
      <c r="BB43" s="26" t="str">
        <f t="shared" ca="1" si="48"/>
        <v/>
      </c>
      <c r="BC43" s="26" t="str">
        <f t="shared" ca="1" si="48"/>
        <v/>
      </c>
      <c r="BD43" s="26" t="str">
        <f t="shared" ca="1" si="48"/>
        <v/>
      </c>
      <c r="BE43" s="26" t="str">
        <f t="shared" ca="1" si="48"/>
        <v/>
      </c>
      <c r="BF43" s="26" t="str">
        <f t="shared" ca="1" si="48"/>
        <v/>
      </c>
      <c r="BG43" s="26" t="str">
        <f t="shared" ca="1" si="48"/>
        <v/>
      </c>
      <c r="BH43" s="26" t="str">
        <f t="shared" ca="1" si="48"/>
        <v/>
      </c>
      <c r="BI43" s="26" t="str">
        <f t="shared" ca="1" si="48"/>
        <v/>
      </c>
      <c r="BJ43" s="26" t="str">
        <f t="shared" ca="1" si="48"/>
        <v/>
      </c>
      <c r="BK43" s="26" t="str">
        <f t="shared" ca="1" si="48"/>
        <v/>
      </c>
      <c r="BL43" s="26" t="str">
        <f t="shared" ca="1" si="48"/>
        <v/>
      </c>
    </row>
    <row r="44" spans="1:64" s="1" customFormat="1" ht="40" customHeight="1" x14ac:dyDescent="0.2">
      <c r="A44" s="9"/>
      <c r="B44" s="134" t="s">
        <v>57</v>
      </c>
      <c r="C44" s="57" t="s">
        <v>35</v>
      </c>
      <c r="D44" s="57" t="s">
        <v>26</v>
      </c>
      <c r="E44" s="58">
        <v>1</v>
      </c>
      <c r="F44" s="59">
        <v>45951</v>
      </c>
      <c r="G44" s="60">
        <v>5</v>
      </c>
      <c r="H44" s="57"/>
      <c r="I44" s="26"/>
      <c r="J44" s="26"/>
      <c r="K44" s="26"/>
      <c r="L44" s="26"/>
      <c r="M44" s="26"/>
      <c r="N44" s="26"/>
      <c r="O44" s="26"/>
      <c r="P44" s="123"/>
      <c r="Q44" s="123"/>
      <c r="R44" s="123"/>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row>
    <row r="45" spans="1:64" s="1" customFormat="1" ht="40" customHeight="1" x14ac:dyDescent="0.2">
      <c r="A45" s="9"/>
      <c r="B45" s="134" t="s">
        <v>58</v>
      </c>
      <c r="C45" s="57" t="s">
        <v>35</v>
      </c>
      <c r="D45" s="57" t="s">
        <v>24</v>
      </c>
      <c r="E45" s="58">
        <v>1</v>
      </c>
      <c r="F45" s="59">
        <v>45935</v>
      </c>
      <c r="G45" s="60">
        <v>7</v>
      </c>
      <c r="H45" s="57"/>
      <c r="I45" s="26" t="str">
        <f t="shared" ca="1" si="25"/>
        <v/>
      </c>
      <c r="J45" s="26" t="str">
        <f t="shared" ca="1" si="25"/>
        <v/>
      </c>
      <c r="K45" s="26" t="str">
        <f t="shared" ca="1" si="25"/>
        <v/>
      </c>
      <c r="L45" s="26" t="str">
        <f t="shared" ca="1" si="25"/>
        <v/>
      </c>
      <c r="M45" s="26" t="str">
        <f t="shared" ca="1" si="25"/>
        <v/>
      </c>
      <c r="N45" s="26" t="str">
        <f t="shared" ca="1" si="25"/>
        <v/>
      </c>
      <c r="O45" s="26" t="str">
        <f t="shared" ca="1" si="25"/>
        <v/>
      </c>
      <c r="P45" s="26" t="str">
        <f t="shared" ca="1" si="25"/>
        <v/>
      </c>
      <c r="Q45" s="26" t="str">
        <f t="shared" ca="1" si="25"/>
        <v/>
      </c>
      <c r="R45" s="123" t="str">
        <f t="shared" ca="1" si="25"/>
        <v/>
      </c>
      <c r="S45" s="123" t="str">
        <f t="shared" ca="1" si="25"/>
        <v/>
      </c>
      <c r="T45" s="123" t="str">
        <f t="shared" ca="1" si="25"/>
        <v/>
      </c>
      <c r="U45" s="26" t="str">
        <f t="shared" ca="1" si="25"/>
        <v/>
      </c>
      <c r="V45" s="26" t="str">
        <f t="shared" ca="1" si="25"/>
        <v/>
      </c>
      <c r="W45" s="26" t="str">
        <f t="shared" ca="1" si="25"/>
        <v/>
      </c>
      <c r="X45" s="26" t="str">
        <f t="shared" ca="1" si="25"/>
        <v/>
      </c>
      <c r="Y45" s="26" t="str">
        <f t="shared" ref="Y45:AN47" ca="1" si="50">IF(AND($C45="Goal",Y$7&gt;=$F45,Y$7&lt;=$F45+$G45-1),2,IF(AND($C45="Milestone",Y$7&gt;=$F45,Y$7&lt;=$F45+$G45-1),1,""))</f>
        <v/>
      </c>
      <c r="Z45" s="26" t="str">
        <f t="shared" ca="1" si="50"/>
        <v/>
      </c>
      <c r="AA45" s="26" t="str">
        <f t="shared" ca="1" si="50"/>
        <v/>
      </c>
      <c r="AB45" s="26" t="str">
        <f t="shared" ca="1" si="50"/>
        <v/>
      </c>
      <c r="AC45" s="26" t="str">
        <f t="shared" ca="1" si="26"/>
        <v/>
      </c>
      <c r="AD45" s="26" t="str">
        <f t="shared" ca="1" si="26"/>
        <v/>
      </c>
      <c r="AE45" s="26" t="str">
        <f t="shared" ca="1" si="26"/>
        <v/>
      </c>
      <c r="AF45" s="26" t="str">
        <f t="shared" ca="1" si="26"/>
        <v/>
      </c>
      <c r="AG45" s="26" t="str">
        <f t="shared" ca="1" si="26"/>
        <v/>
      </c>
      <c r="AH45" s="26" t="str">
        <f t="shared" ca="1" si="26"/>
        <v/>
      </c>
      <c r="AI45" s="26" t="str">
        <f t="shared" ca="1" si="26"/>
        <v/>
      </c>
      <c r="AJ45" s="26" t="str">
        <f t="shared" ca="1" si="26"/>
        <v/>
      </c>
      <c r="AK45" s="26" t="str">
        <f t="shared" ca="1" si="26"/>
        <v/>
      </c>
      <c r="AL45" s="26" t="str">
        <f t="shared" ca="1" si="26"/>
        <v/>
      </c>
      <c r="AM45" s="26" t="str">
        <f t="shared" ca="1" si="26"/>
        <v/>
      </c>
      <c r="AN45" s="26" t="str">
        <f t="shared" ca="1" si="26"/>
        <v/>
      </c>
      <c r="AO45" s="26" t="str">
        <f t="shared" ref="AO45:BD47" ca="1" si="51">IF(AND($C45="Goal",AO$7&gt;=$F45,AO$7&lt;=$F45+$G45-1),2,IF(AND($C45="Milestone",AO$7&gt;=$F45,AO$7&lt;=$F45+$G45-1),1,""))</f>
        <v/>
      </c>
      <c r="AP45" s="26" t="str">
        <f t="shared" ca="1" si="51"/>
        <v/>
      </c>
      <c r="AQ45" s="26" t="str">
        <f t="shared" ca="1" si="51"/>
        <v/>
      </c>
      <c r="AR45" s="26" t="str">
        <f t="shared" ca="1" si="51"/>
        <v/>
      </c>
      <c r="AS45" s="26" t="str">
        <f t="shared" ca="1" si="51"/>
        <v/>
      </c>
      <c r="AT45" s="26" t="str">
        <f t="shared" ca="1" si="51"/>
        <v/>
      </c>
      <c r="AU45" s="26" t="str">
        <f t="shared" ca="1" si="51"/>
        <v/>
      </c>
      <c r="AV45" s="26" t="str">
        <f t="shared" ca="1" si="51"/>
        <v/>
      </c>
      <c r="AW45" s="26" t="str">
        <f t="shared" ca="1" si="28"/>
        <v/>
      </c>
      <c r="AX45" s="26" t="str">
        <f t="shared" ca="1" si="28"/>
        <v/>
      </c>
      <c r="AY45" s="26" t="str">
        <f t="shared" ca="1" si="28"/>
        <v/>
      </c>
      <c r="AZ45" s="26" t="str">
        <f t="shared" ca="1" si="28"/>
        <v/>
      </c>
      <c r="BA45" s="26" t="str">
        <f t="shared" ca="1" si="28"/>
        <v/>
      </c>
      <c r="BB45" s="26" t="str">
        <f t="shared" ca="1" si="28"/>
        <v/>
      </c>
      <c r="BC45" s="26" t="str">
        <f t="shared" ca="1" si="28"/>
        <v/>
      </c>
      <c r="BD45" s="26" t="str">
        <f t="shared" ca="1" si="28"/>
        <v/>
      </c>
      <c r="BE45" s="26" t="str">
        <f t="shared" ca="1" si="28"/>
        <v/>
      </c>
      <c r="BF45" s="26" t="str">
        <f t="shared" ca="1" si="28"/>
        <v/>
      </c>
      <c r="BG45" s="26" t="str">
        <f t="shared" ca="1" si="28"/>
        <v/>
      </c>
      <c r="BH45" s="26" t="str">
        <f t="shared" ca="1" si="28"/>
        <v/>
      </c>
      <c r="BI45" s="26" t="str">
        <f t="shared" ca="1" si="28"/>
        <v/>
      </c>
      <c r="BJ45" s="26" t="str">
        <f t="shared" ca="1" si="28"/>
        <v/>
      </c>
      <c r="BK45" s="26" t="str">
        <f t="shared" ca="1" si="28"/>
        <v/>
      </c>
      <c r="BL45" s="26" t="str">
        <f t="shared" ca="1" si="28"/>
        <v/>
      </c>
    </row>
    <row r="46" spans="1:64" s="1" customFormat="1" ht="40" customHeight="1" x14ac:dyDescent="0.2">
      <c r="A46" s="9"/>
      <c r="B46" s="134" t="s">
        <v>59</v>
      </c>
      <c r="C46" s="57" t="s">
        <v>20</v>
      </c>
      <c r="D46" s="57" t="s">
        <v>24</v>
      </c>
      <c r="E46" s="58">
        <v>1</v>
      </c>
      <c r="F46" s="59">
        <v>45935</v>
      </c>
      <c r="G46" s="60">
        <v>5</v>
      </c>
      <c r="H46" s="57"/>
      <c r="I46" s="26" t="str">
        <f t="shared" ca="1" si="25"/>
        <v/>
      </c>
      <c r="J46" s="26" t="str">
        <f t="shared" ca="1" si="25"/>
        <v/>
      </c>
      <c r="K46" s="26" t="str">
        <f t="shared" ca="1" si="25"/>
        <v/>
      </c>
      <c r="L46" s="26" t="str">
        <f t="shared" ca="1" si="25"/>
        <v/>
      </c>
      <c r="M46" s="26" t="str">
        <f t="shared" ca="1" si="25"/>
        <v/>
      </c>
      <c r="N46" s="26" t="str">
        <f t="shared" ca="1" si="25"/>
        <v/>
      </c>
      <c r="O46" s="26" t="str">
        <f t="shared" ca="1" si="25"/>
        <v/>
      </c>
      <c r="P46" s="26" t="str">
        <f t="shared" ca="1" si="25"/>
        <v/>
      </c>
      <c r="Q46" s="26" t="str">
        <f t="shared" ca="1" si="25"/>
        <v/>
      </c>
      <c r="R46" s="26" t="str">
        <f t="shared" ca="1" si="25"/>
        <v/>
      </c>
      <c r="S46" s="26" t="str">
        <f t="shared" ca="1" si="25"/>
        <v/>
      </c>
      <c r="T46" s="26" t="str">
        <f t="shared" ca="1" si="25"/>
        <v/>
      </c>
      <c r="U46" s="26" t="str">
        <f t="shared" ca="1" si="25"/>
        <v/>
      </c>
      <c r="V46" s="26" t="str">
        <f t="shared" ca="1" si="25"/>
        <v/>
      </c>
      <c r="W46" s="26" t="str">
        <f t="shared" ca="1" si="25"/>
        <v/>
      </c>
      <c r="X46" s="26" t="str">
        <f t="shared" ca="1" si="25"/>
        <v/>
      </c>
      <c r="Y46" s="26" t="str">
        <f t="shared" ca="1" si="50"/>
        <v/>
      </c>
      <c r="Z46" s="26" t="str">
        <f t="shared" ca="1" si="50"/>
        <v/>
      </c>
      <c r="AA46" s="26" t="str">
        <f t="shared" ca="1" si="50"/>
        <v/>
      </c>
      <c r="AB46" s="26" t="str">
        <f t="shared" ca="1" si="50"/>
        <v/>
      </c>
      <c r="AC46" s="26" t="str">
        <f t="shared" ca="1" si="50"/>
        <v/>
      </c>
      <c r="AD46" s="26" t="str">
        <f t="shared" ca="1" si="50"/>
        <v/>
      </c>
      <c r="AE46" s="26" t="str">
        <f t="shared" ca="1" si="50"/>
        <v/>
      </c>
      <c r="AF46" s="26" t="str">
        <f t="shared" ca="1" si="50"/>
        <v/>
      </c>
      <c r="AG46" s="26" t="str">
        <f t="shared" ca="1" si="50"/>
        <v/>
      </c>
      <c r="AH46" s="26" t="str">
        <f t="shared" ca="1" si="50"/>
        <v/>
      </c>
      <c r="AI46" s="26" t="str">
        <f t="shared" ca="1" si="50"/>
        <v/>
      </c>
      <c r="AJ46" s="26" t="str">
        <f t="shared" ca="1" si="50"/>
        <v/>
      </c>
      <c r="AK46" s="26" t="str">
        <f t="shared" ca="1" si="50"/>
        <v/>
      </c>
      <c r="AL46" s="26" t="str">
        <f t="shared" ca="1" si="50"/>
        <v/>
      </c>
      <c r="AM46" s="26" t="str">
        <f t="shared" ca="1" si="50"/>
        <v/>
      </c>
      <c r="AN46" s="26" t="str">
        <f t="shared" ca="1" si="50"/>
        <v/>
      </c>
      <c r="AO46" s="26" t="str">
        <f t="shared" ca="1" si="51"/>
        <v/>
      </c>
      <c r="AP46" s="26" t="str">
        <f t="shared" ca="1" si="51"/>
        <v/>
      </c>
      <c r="AQ46" s="26" t="str">
        <f t="shared" ca="1" si="51"/>
        <v/>
      </c>
      <c r="AR46" s="26" t="str">
        <f t="shared" ca="1" si="51"/>
        <v/>
      </c>
      <c r="AS46" s="26" t="str">
        <f t="shared" ca="1" si="51"/>
        <v/>
      </c>
      <c r="AT46" s="26" t="str">
        <f t="shared" ca="1" si="51"/>
        <v/>
      </c>
      <c r="AU46" s="26" t="str">
        <f t="shared" ca="1" si="51"/>
        <v/>
      </c>
      <c r="AV46" s="26" t="str">
        <f t="shared" ca="1" si="51"/>
        <v/>
      </c>
      <c r="AW46" s="26" t="str">
        <f t="shared" ca="1" si="51"/>
        <v/>
      </c>
      <c r="AX46" s="26" t="str">
        <f t="shared" ca="1" si="51"/>
        <v/>
      </c>
      <c r="AY46" s="26" t="str">
        <f t="shared" ca="1" si="51"/>
        <v/>
      </c>
      <c r="AZ46" s="26" t="str">
        <f t="shared" ca="1" si="51"/>
        <v/>
      </c>
      <c r="BA46" s="26" t="str">
        <f t="shared" ca="1" si="51"/>
        <v/>
      </c>
      <c r="BB46" s="26" t="str">
        <f t="shared" ca="1" si="51"/>
        <v/>
      </c>
      <c r="BC46" s="26" t="str">
        <f t="shared" ca="1" si="51"/>
        <v/>
      </c>
      <c r="BD46" s="26" t="str">
        <f t="shared" ca="1" si="51"/>
        <v/>
      </c>
      <c r="BE46" s="26" t="str">
        <f t="shared" ca="1" si="28"/>
        <v/>
      </c>
      <c r="BF46" s="26" t="str">
        <f t="shared" ca="1" si="28"/>
        <v/>
      </c>
      <c r="BG46" s="26" t="str">
        <f t="shared" ca="1" si="28"/>
        <v/>
      </c>
      <c r="BH46" s="26" t="str">
        <f t="shared" ca="1" si="28"/>
        <v/>
      </c>
      <c r="BI46" s="26" t="str">
        <f t="shared" ca="1" si="28"/>
        <v/>
      </c>
      <c r="BJ46" s="26" t="str">
        <f t="shared" ca="1" si="28"/>
        <v/>
      </c>
      <c r="BK46" s="26" t="str">
        <f t="shared" ca="1" si="28"/>
        <v/>
      </c>
      <c r="BL46" s="26" t="str">
        <f t="shared" ca="1" si="28"/>
        <v/>
      </c>
    </row>
    <row r="47" spans="1:64" s="1" customFormat="1" ht="40" customHeight="1" x14ac:dyDescent="0.2">
      <c r="A47" s="9"/>
      <c r="B47" s="134" t="s">
        <v>60</v>
      </c>
      <c r="C47" s="57" t="s">
        <v>23</v>
      </c>
      <c r="D47" s="57" t="s">
        <v>24</v>
      </c>
      <c r="E47" s="58">
        <v>1</v>
      </c>
      <c r="F47" s="59">
        <v>45940</v>
      </c>
      <c r="G47" s="60">
        <v>3</v>
      </c>
      <c r="H47" s="57"/>
      <c r="I47" s="26" t="str">
        <f t="shared" ca="1" si="25"/>
        <v/>
      </c>
      <c r="J47" s="26" t="str">
        <f t="shared" ca="1" si="25"/>
        <v/>
      </c>
      <c r="K47" s="123"/>
      <c r="L47" s="26" t="str">
        <f t="shared" ca="1" si="25"/>
        <v/>
      </c>
      <c r="M47" s="26" t="str">
        <f t="shared" ca="1" si="25"/>
        <v/>
      </c>
      <c r="N47" s="26" t="str">
        <f t="shared" ca="1" si="25"/>
        <v/>
      </c>
      <c r="O47" s="26" t="str">
        <f t="shared" ca="1" si="25"/>
        <v/>
      </c>
      <c r="P47" s="26" t="str">
        <f t="shared" ca="1" si="25"/>
        <v/>
      </c>
      <c r="Q47" s="26" t="str">
        <f t="shared" ca="1" si="25"/>
        <v/>
      </c>
      <c r="R47" s="26" t="str">
        <f t="shared" ca="1" si="25"/>
        <v/>
      </c>
      <c r="S47" s="26" t="str">
        <f t="shared" ca="1" si="25"/>
        <v/>
      </c>
      <c r="T47" s="26" t="str">
        <f t="shared" ca="1" si="25"/>
        <v/>
      </c>
      <c r="U47" s="26" t="str">
        <f t="shared" ca="1" si="25"/>
        <v/>
      </c>
      <c r="V47" s="26" t="str">
        <f t="shared" ca="1" si="25"/>
        <v/>
      </c>
      <c r="W47" s="26" t="str">
        <f t="shared" ca="1" si="25"/>
        <v/>
      </c>
      <c r="X47" s="26" t="str">
        <f t="shared" ca="1" si="25"/>
        <v/>
      </c>
      <c r="Y47" s="26" t="str">
        <f t="shared" ca="1" si="50"/>
        <v/>
      </c>
      <c r="Z47" s="26" t="str">
        <f t="shared" ca="1" si="50"/>
        <v/>
      </c>
      <c r="AA47" s="26" t="str">
        <f t="shared" ca="1" si="50"/>
        <v/>
      </c>
      <c r="AB47" s="26" t="str">
        <f t="shared" ca="1" si="50"/>
        <v/>
      </c>
      <c r="AC47" s="26" t="str">
        <f t="shared" ca="1" si="50"/>
        <v/>
      </c>
      <c r="AD47" s="26" t="str">
        <f t="shared" ca="1" si="50"/>
        <v/>
      </c>
      <c r="AE47" s="26" t="str">
        <f t="shared" ca="1" si="50"/>
        <v/>
      </c>
      <c r="AF47" s="26" t="str">
        <f t="shared" ca="1" si="50"/>
        <v/>
      </c>
      <c r="AG47" s="26" t="str">
        <f t="shared" ca="1" si="50"/>
        <v/>
      </c>
      <c r="AH47" s="26" t="str">
        <f t="shared" ca="1" si="50"/>
        <v/>
      </c>
      <c r="AI47" s="26" t="str">
        <f t="shared" ca="1" si="50"/>
        <v/>
      </c>
      <c r="AJ47" s="26" t="str">
        <f t="shared" ca="1" si="50"/>
        <v/>
      </c>
      <c r="AK47" s="26" t="str">
        <f t="shared" ca="1" si="50"/>
        <v/>
      </c>
      <c r="AL47" s="26" t="str">
        <f t="shared" ca="1" si="50"/>
        <v/>
      </c>
      <c r="AM47" s="26" t="str">
        <f t="shared" ca="1" si="50"/>
        <v/>
      </c>
      <c r="AN47" s="26" t="str">
        <f t="shared" ca="1" si="50"/>
        <v/>
      </c>
      <c r="AO47" s="26" t="str">
        <f t="shared" ca="1" si="51"/>
        <v/>
      </c>
      <c r="AP47" s="26" t="str">
        <f t="shared" ca="1" si="51"/>
        <v/>
      </c>
      <c r="AQ47" s="26" t="str">
        <f t="shared" ca="1" si="51"/>
        <v/>
      </c>
      <c r="AR47" s="26" t="str">
        <f t="shared" ca="1" si="51"/>
        <v/>
      </c>
      <c r="AS47" s="26" t="str">
        <f t="shared" ca="1" si="51"/>
        <v/>
      </c>
      <c r="AT47" s="26" t="str">
        <f t="shared" ca="1" si="51"/>
        <v/>
      </c>
      <c r="AU47" s="26" t="str">
        <f t="shared" ca="1" si="51"/>
        <v/>
      </c>
      <c r="AV47" s="26" t="str">
        <f t="shared" ca="1" si="51"/>
        <v/>
      </c>
      <c r="AW47" s="26" t="str">
        <f t="shared" ca="1" si="51"/>
        <v/>
      </c>
      <c r="AX47" s="26" t="str">
        <f t="shared" ca="1" si="51"/>
        <v/>
      </c>
      <c r="AY47" s="26" t="str">
        <f t="shared" ca="1" si="51"/>
        <v/>
      </c>
      <c r="AZ47" s="26" t="str">
        <f t="shared" ca="1" si="51"/>
        <v/>
      </c>
      <c r="BA47" s="26" t="str">
        <f t="shared" ca="1" si="51"/>
        <v/>
      </c>
      <c r="BB47" s="26" t="str">
        <f t="shared" ca="1" si="51"/>
        <v/>
      </c>
      <c r="BC47" s="26" t="str">
        <f t="shared" ca="1" si="51"/>
        <v/>
      </c>
      <c r="BD47" s="26" t="str">
        <f t="shared" ca="1" si="51"/>
        <v/>
      </c>
      <c r="BE47" s="26" t="str">
        <f t="shared" ca="1" si="28"/>
        <v/>
      </c>
      <c r="BF47" s="26" t="str">
        <f t="shared" ca="1" si="28"/>
        <v/>
      </c>
      <c r="BG47" s="26" t="str">
        <f t="shared" ca="1" si="28"/>
        <v/>
      </c>
      <c r="BH47" s="26" t="str">
        <f t="shared" ca="1" si="28"/>
        <v/>
      </c>
      <c r="BI47" s="26" t="str">
        <f t="shared" ca="1" si="28"/>
        <v/>
      </c>
      <c r="BJ47" s="26" t="str">
        <f t="shared" ca="1" si="28"/>
        <v/>
      </c>
      <c r="BK47" s="26" t="str">
        <f t="shared" ca="1" si="28"/>
        <v/>
      </c>
      <c r="BL47" s="26" t="str">
        <f t="shared" ca="1" si="28"/>
        <v/>
      </c>
    </row>
    <row r="48" spans="1:64" s="1" customFormat="1" ht="40" customHeight="1" x14ac:dyDescent="0.2">
      <c r="A48" s="9"/>
      <c r="B48" s="134" t="s">
        <v>61</v>
      </c>
      <c r="C48" s="57" t="s">
        <v>35</v>
      </c>
      <c r="D48" s="57" t="s">
        <v>24</v>
      </c>
      <c r="E48" s="58">
        <v>1</v>
      </c>
      <c r="F48" s="59">
        <v>45942</v>
      </c>
      <c r="G48" s="60">
        <v>5</v>
      </c>
      <c r="H48" s="57"/>
      <c r="I48" s="26"/>
      <c r="J48" s="26"/>
      <c r="K48" s="123"/>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row>
    <row r="49" spans="1:66" s="1" customFormat="1" ht="40" customHeight="1" x14ac:dyDescent="0.2">
      <c r="A49" s="9"/>
      <c r="B49" s="134" t="s">
        <v>62</v>
      </c>
      <c r="C49" s="57" t="s">
        <v>23</v>
      </c>
      <c r="D49" s="57" t="s">
        <v>54</v>
      </c>
      <c r="E49" s="58">
        <v>1</v>
      </c>
      <c r="F49" s="59">
        <v>45945</v>
      </c>
      <c r="G49" s="60">
        <v>5</v>
      </c>
      <c r="H49" s="57"/>
      <c r="I49" s="26" t="str">
        <f t="shared" ca="1" si="18"/>
        <v/>
      </c>
      <c r="J49" s="26" t="str">
        <f t="shared" ca="1" si="18"/>
        <v/>
      </c>
      <c r="K49" s="26" t="str">
        <f t="shared" ca="1" si="18"/>
        <v/>
      </c>
      <c r="L49" s="26" t="str">
        <f t="shared" ca="1" si="18"/>
        <v/>
      </c>
      <c r="M49" s="123" t="str">
        <f t="shared" ca="1" si="18"/>
        <v/>
      </c>
      <c r="N49" s="123"/>
      <c r="O49" s="123" t="str">
        <f t="shared" ref="O49:P50" ca="1" si="52">IF(AND($C49="Goal",O$7&gt;=$F49,O$7&lt;=$F49+$G49-1),2,IF(AND($C49="Milestone",O$7&gt;=$F49,O$7&lt;=$F49+$G49-1),1,""))</f>
        <v/>
      </c>
      <c r="P49" s="124" t="str">
        <f t="shared" ref="P49" si="53">B36</f>
        <v>work on recipe upload to the website feature</v>
      </c>
      <c r="Q49" s="26" t="str">
        <f t="shared" ref="Q49:AF50" ca="1" si="54">IF(AND($C49="Goal",Q$7&gt;=$F49,Q$7&lt;=$F49+$G49-1),2,IF(AND($C49="Milestone",Q$7&gt;=$F49,Q$7&lt;=$F49+$G49-1),1,""))</f>
        <v/>
      </c>
      <c r="R49" s="26" t="str">
        <f t="shared" ca="1" si="54"/>
        <v/>
      </c>
      <c r="S49" s="26" t="str">
        <f t="shared" ca="1" si="54"/>
        <v/>
      </c>
      <c r="T49" s="26" t="str">
        <f t="shared" ca="1" si="54"/>
        <v/>
      </c>
      <c r="U49" s="26" t="str">
        <f t="shared" ca="1" si="54"/>
        <v/>
      </c>
      <c r="V49" s="26" t="str">
        <f t="shared" ca="1" si="54"/>
        <v/>
      </c>
      <c r="W49" s="26" t="str">
        <f t="shared" ca="1" si="54"/>
        <v/>
      </c>
      <c r="X49" s="26" t="str">
        <f t="shared" ca="1" si="54"/>
        <v/>
      </c>
      <c r="Y49" s="26" t="str">
        <f t="shared" ca="1" si="54"/>
        <v/>
      </c>
      <c r="Z49" s="26" t="str">
        <f t="shared" ca="1" si="54"/>
        <v/>
      </c>
      <c r="AA49" s="26" t="str">
        <f t="shared" ca="1" si="54"/>
        <v/>
      </c>
      <c r="AB49" s="26" t="str">
        <f t="shared" ca="1" si="54"/>
        <v/>
      </c>
      <c r="AC49" s="26" t="str">
        <f t="shared" ca="1" si="54"/>
        <v/>
      </c>
      <c r="AD49" s="26" t="str">
        <f t="shared" ca="1" si="54"/>
        <v/>
      </c>
      <c r="AE49" s="26" t="str">
        <f t="shared" ca="1" si="54"/>
        <v/>
      </c>
      <c r="AF49" s="26" t="str">
        <f t="shared" ca="1" si="54"/>
        <v/>
      </c>
      <c r="AG49" s="26" t="str">
        <f t="shared" ref="AG49:AV50" ca="1" si="55">IF(AND($C49="Goal",AG$7&gt;=$F49,AG$7&lt;=$F49+$G49-1),2,IF(AND($C49="Milestone",AG$7&gt;=$F49,AG$7&lt;=$F49+$G49-1),1,""))</f>
        <v/>
      </c>
      <c r="AH49" s="26" t="str">
        <f t="shared" ca="1" si="55"/>
        <v/>
      </c>
      <c r="AI49" s="26" t="str">
        <f t="shared" ca="1" si="55"/>
        <v/>
      </c>
      <c r="AJ49" s="26" t="str">
        <f t="shared" ca="1" si="55"/>
        <v/>
      </c>
      <c r="AK49" s="26" t="str">
        <f t="shared" ca="1" si="55"/>
        <v/>
      </c>
      <c r="AL49" s="26" t="str">
        <f t="shared" ca="1" si="55"/>
        <v/>
      </c>
      <c r="AM49" s="26" t="str">
        <f t="shared" ca="1" si="55"/>
        <v/>
      </c>
      <c r="AN49" s="26" t="str">
        <f t="shared" ca="1" si="55"/>
        <v/>
      </c>
      <c r="AO49" s="26" t="str">
        <f t="shared" ca="1" si="55"/>
        <v/>
      </c>
      <c r="AP49" s="26" t="str">
        <f t="shared" ca="1" si="55"/>
        <v/>
      </c>
      <c r="AQ49" s="26" t="str">
        <f t="shared" ca="1" si="55"/>
        <v/>
      </c>
      <c r="AR49" s="26" t="str">
        <f t="shared" ca="1" si="55"/>
        <v/>
      </c>
      <c r="AS49" s="26" t="str">
        <f t="shared" ca="1" si="55"/>
        <v/>
      </c>
      <c r="AT49" s="26" t="str">
        <f t="shared" ca="1" si="55"/>
        <v/>
      </c>
      <c r="AU49" s="26" t="str">
        <f t="shared" ca="1" si="55"/>
        <v/>
      </c>
      <c r="AV49" s="26" t="str">
        <f t="shared" ca="1" si="55"/>
        <v/>
      </c>
      <c r="AW49" s="26" t="str">
        <f t="shared" ref="AW49:BL50" ca="1" si="56">IF(AND($C49="Goal",AW$7&gt;=$F49,AW$7&lt;=$F49+$G49-1),2,IF(AND($C49="Milestone",AW$7&gt;=$F49,AW$7&lt;=$F49+$G49-1),1,""))</f>
        <v/>
      </c>
      <c r="AX49" s="26" t="str">
        <f t="shared" ca="1" si="56"/>
        <v/>
      </c>
      <c r="AY49" s="26" t="str">
        <f t="shared" ca="1" si="56"/>
        <v/>
      </c>
      <c r="AZ49" s="26" t="str">
        <f t="shared" ca="1" si="56"/>
        <v/>
      </c>
      <c r="BA49" s="26" t="str">
        <f t="shared" ca="1" si="56"/>
        <v/>
      </c>
      <c r="BB49" s="26" t="str">
        <f t="shared" ca="1" si="56"/>
        <v/>
      </c>
      <c r="BC49" s="26" t="str">
        <f t="shared" ca="1" si="56"/>
        <v/>
      </c>
      <c r="BD49" s="26" t="str">
        <f t="shared" ca="1" si="56"/>
        <v/>
      </c>
      <c r="BE49" s="26" t="str">
        <f t="shared" ca="1" si="56"/>
        <v/>
      </c>
      <c r="BF49" s="26" t="str">
        <f t="shared" ca="1" si="56"/>
        <v/>
      </c>
      <c r="BG49" s="26" t="str">
        <f t="shared" ca="1" si="56"/>
        <v/>
      </c>
      <c r="BH49" s="26" t="str">
        <f t="shared" ca="1" si="56"/>
        <v/>
      </c>
      <c r="BI49" s="26" t="str">
        <f t="shared" ca="1" si="56"/>
        <v/>
      </c>
      <c r="BJ49" s="26" t="str">
        <f t="shared" ca="1" si="56"/>
        <v/>
      </c>
      <c r="BK49" s="26" t="str">
        <f t="shared" ca="1" si="56"/>
        <v/>
      </c>
      <c r="BL49" s="26" t="str">
        <f t="shared" ca="1" si="56"/>
        <v/>
      </c>
    </row>
    <row r="50" spans="1:66" s="1" customFormat="1" ht="40" customHeight="1" x14ac:dyDescent="0.2">
      <c r="A50" s="9"/>
      <c r="B50" s="134" t="s">
        <v>63</v>
      </c>
      <c r="C50" s="57" t="s">
        <v>23</v>
      </c>
      <c r="D50" s="57" t="s">
        <v>54</v>
      </c>
      <c r="E50" s="58">
        <v>1</v>
      </c>
      <c r="F50" s="59">
        <v>45955</v>
      </c>
      <c r="G50" s="60">
        <v>5</v>
      </c>
      <c r="H50" s="57"/>
      <c r="I50" s="26" t="str">
        <f t="shared" ca="1" si="18"/>
        <v/>
      </c>
      <c r="J50" s="26" t="str">
        <f t="shared" ca="1" si="18"/>
        <v/>
      </c>
      <c r="K50" s="26" t="str">
        <f t="shared" ca="1" si="18"/>
        <v/>
      </c>
      <c r="L50" s="26" t="str">
        <f t="shared" ca="1" si="18"/>
        <v/>
      </c>
      <c r="M50" s="26" t="str">
        <f t="shared" ca="1" si="18"/>
        <v/>
      </c>
      <c r="N50" s="26" t="str">
        <f t="shared" ca="1" si="18"/>
        <v/>
      </c>
      <c r="O50" s="26" t="str">
        <f t="shared" ca="1" si="52"/>
        <v/>
      </c>
      <c r="P50" s="123" t="str">
        <f t="shared" ca="1" si="52"/>
        <v/>
      </c>
      <c r="Q50" s="123" t="str">
        <f t="shared" ca="1" si="54"/>
        <v/>
      </c>
      <c r="R50" s="123" t="str">
        <f t="shared" ref="R50" ca="1" si="57">S50</f>
        <v/>
      </c>
      <c r="S50" s="26" t="str">
        <f t="shared" ca="1" si="54"/>
        <v/>
      </c>
      <c r="T50" s="26" t="str">
        <f t="shared" ca="1" si="54"/>
        <v/>
      </c>
      <c r="U50" s="26" t="str">
        <f t="shared" ca="1" si="54"/>
        <v/>
      </c>
      <c r="V50" s="26" t="str">
        <f t="shared" ca="1" si="54"/>
        <v/>
      </c>
      <c r="W50" s="26" t="str">
        <f t="shared" ca="1" si="54"/>
        <v/>
      </c>
      <c r="X50" s="26" t="str">
        <f t="shared" ca="1" si="54"/>
        <v/>
      </c>
      <c r="Y50" s="26" t="str">
        <f t="shared" ca="1" si="54"/>
        <v/>
      </c>
      <c r="Z50" s="26" t="str">
        <f t="shared" ca="1" si="54"/>
        <v/>
      </c>
      <c r="AA50" s="26" t="str">
        <f t="shared" ca="1" si="54"/>
        <v/>
      </c>
      <c r="AB50" s="26" t="str">
        <f t="shared" ca="1" si="54"/>
        <v/>
      </c>
      <c r="AC50" s="26" t="str">
        <f t="shared" ca="1" si="54"/>
        <v/>
      </c>
      <c r="AD50" s="26" t="str">
        <f t="shared" ca="1" si="54"/>
        <v/>
      </c>
      <c r="AE50" s="26" t="str">
        <f t="shared" ca="1" si="54"/>
        <v/>
      </c>
      <c r="AF50" s="26" t="str">
        <f t="shared" ca="1" si="54"/>
        <v/>
      </c>
      <c r="AG50" s="26" t="str">
        <f t="shared" ca="1" si="55"/>
        <v/>
      </c>
      <c r="AH50" s="26" t="str">
        <f t="shared" ca="1" si="55"/>
        <v/>
      </c>
      <c r="AI50" s="26" t="str">
        <f t="shared" ca="1" si="55"/>
        <v/>
      </c>
      <c r="AJ50" s="26" t="str">
        <f t="shared" ca="1" si="55"/>
        <v/>
      </c>
      <c r="AK50" s="26" t="str">
        <f t="shared" ca="1" si="55"/>
        <v/>
      </c>
      <c r="AL50" s="26" t="str">
        <f t="shared" ca="1" si="55"/>
        <v/>
      </c>
      <c r="AM50" s="26" t="str">
        <f t="shared" ca="1" si="55"/>
        <v/>
      </c>
      <c r="AN50" s="26" t="str">
        <f t="shared" ca="1" si="55"/>
        <v/>
      </c>
      <c r="AO50" s="26" t="str">
        <f t="shared" ca="1" si="55"/>
        <v/>
      </c>
      <c r="AP50" s="26" t="str">
        <f t="shared" ca="1" si="55"/>
        <v/>
      </c>
      <c r="AQ50" s="26" t="str">
        <f t="shared" ca="1" si="55"/>
        <v/>
      </c>
      <c r="AR50" s="26" t="str">
        <f t="shared" ca="1" si="55"/>
        <v/>
      </c>
      <c r="AS50" s="26" t="str">
        <f t="shared" ca="1" si="55"/>
        <v/>
      </c>
      <c r="AT50" s="26" t="str">
        <f t="shared" ca="1" si="55"/>
        <v/>
      </c>
      <c r="AU50" s="26" t="str">
        <f t="shared" ca="1" si="55"/>
        <v/>
      </c>
      <c r="AV50" s="26" t="str">
        <f t="shared" ca="1" si="55"/>
        <v/>
      </c>
      <c r="AW50" s="26" t="str">
        <f t="shared" ca="1" si="56"/>
        <v/>
      </c>
      <c r="AX50" s="26" t="str">
        <f t="shared" ca="1" si="56"/>
        <v/>
      </c>
      <c r="AY50" s="26" t="str">
        <f t="shared" ca="1" si="56"/>
        <v/>
      </c>
      <c r="AZ50" s="26" t="str">
        <f t="shared" ca="1" si="56"/>
        <v/>
      </c>
      <c r="BA50" s="26" t="str">
        <f t="shared" ca="1" si="56"/>
        <v/>
      </c>
      <c r="BB50" s="26" t="str">
        <f t="shared" ca="1" si="56"/>
        <v/>
      </c>
      <c r="BC50" s="26" t="str">
        <f t="shared" ca="1" si="56"/>
        <v/>
      </c>
      <c r="BD50" s="26" t="str">
        <f t="shared" ca="1" si="56"/>
        <v/>
      </c>
      <c r="BE50" s="26" t="str">
        <f t="shared" ca="1" si="56"/>
        <v/>
      </c>
      <c r="BF50" s="26" t="str">
        <f t="shared" ca="1" si="56"/>
        <v/>
      </c>
      <c r="BG50" s="26" t="str">
        <f t="shared" ca="1" si="56"/>
        <v/>
      </c>
      <c r="BH50" s="26" t="str">
        <f t="shared" ca="1" si="56"/>
        <v/>
      </c>
      <c r="BI50" s="26" t="str">
        <f t="shared" ca="1" si="56"/>
        <v/>
      </c>
      <c r="BJ50" s="26" t="str">
        <f t="shared" ca="1" si="56"/>
        <v/>
      </c>
      <c r="BK50" s="26" t="str">
        <f t="shared" ca="1" si="56"/>
        <v/>
      </c>
      <c r="BL50" s="26" t="str">
        <f t="shared" ca="1" si="56"/>
        <v/>
      </c>
    </row>
    <row r="51" spans="1:66" s="1" customFormat="1" ht="40" customHeight="1" x14ac:dyDescent="0.2">
      <c r="A51" s="9"/>
      <c r="B51" s="134" t="s">
        <v>64</v>
      </c>
      <c r="C51" s="57" t="s">
        <v>23</v>
      </c>
      <c r="D51" s="57" t="s">
        <v>54</v>
      </c>
      <c r="E51" s="58">
        <v>1</v>
      </c>
      <c r="F51" s="59">
        <v>45952</v>
      </c>
      <c r="G51" s="60">
        <v>6</v>
      </c>
      <c r="H51" s="57"/>
      <c r="I51" s="26"/>
      <c r="J51" s="26"/>
      <c r="K51" s="26"/>
      <c r="L51" s="26"/>
      <c r="M51" s="26"/>
      <c r="N51" s="26"/>
      <c r="O51" s="26"/>
      <c r="P51" s="123"/>
      <c r="Q51" s="123"/>
      <c r="R51" s="123"/>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row>
    <row r="52" spans="1:66" s="1" customFormat="1" ht="40" customHeight="1" x14ac:dyDescent="0.2">
      <c r="A52" s="9"/>
      <c r="B52" s="134" t="s">
        <v>65</v>
      </c>
      <c r="C52" s="57" t="s">
        <v>23</v>
      </c>
      <c r="D52" s="57" t="s">
        <v>54</v>
      </c>
      <c r="E52" s="58">
        <v>1</v>
      </c>
      <c r="F52" s="59">
        <v>45952</v>
      </c>
      <c r="G52" s="60">
        <v>7</v>
      </c>
      <c r="H52" s="57"/>
      <c r="I52" s="26" t="str">
        <f t="shared" ca="1" si="25"/>
        <v/>
      </c>
      <c r="J52" s="26" t="str">
        <f t="shared" ca="1" si="25"/>
        <v/>
      </c>
      <c r="K52" s="26" t="str">
        <f t="shared" ca="1" si="25"/>
        <v/>
      </c>
      <c r="L52" s="26" t="str">
        <f t="shared" ca="1" si="25"/>
        <v/>
      </c>
      <c r="M52" s="26" t="str">
        <f t="shared" ca="1" si="25"/>
        <v/>
      </c>
      <c r="N52" s="26" t="str">
        <f t="shared" ca="1" si="25"/>
        <v/>
      </c>
      <c r="O52" s="26" t="str">
        <f t="shared" ca="1" si="25"/>
        <v/>
      </c>
      <c r="P52" s="26" t="str">
        <f t="shared" ca="1" si="25"/>
        <v/>
      </c>
      <c r="Q52" s="26" t="str">
        <f t="shared" ca="1" si="25"/>
        <v/>
      </c>
      <c r="R52" s="123" t="str">
        <f t="shared" ca="1" si="25"/>
        <v/>
      </c>
      <c r="S52" s="123" t="str">
        <f t="shared" ca="1" si="25"/>
        <v/>
      </c>
      <c r="T52" s="123" t="str">
        <f t="shared" ca="1" si="25"/>
        <v/>
      </c>
      <c r="U52" s="26" t="str">
        <f t="shared" ca="1" si="25"/>
        <v/>
      </c>
      <c r="V52" s="26" t="str">
        <f t="shared" ca="1" si="25"/>
        <v/>
      </c>
      <c r="W52" s="26" t="str">
        <f t="shared" ca="1" si="25"/>
        <v/>
      </c>
      <c r="X52" s="26" t="str">
        <f t="shared" ca="1" si="25"/>
        <v/>
      </c>
      <c r="Y52" s="26" t="str">
        <f t="shared" ref="Y52:AN54" ca="1" si="58">IF(AND($C52="Goal",Y$7&gt;=$F52,Y$7&lt;=$F52+$G52-1),2,IF(AND($C52="Milestone",Y$7&gt;=$F52,Y$7&lt;=$F52+$G52-1),1,""))</f>
        <v/>
      </c>
      <c r="Z52" s="26" t="str">
        <f t="shared" ca="1" si="58"/>
        <v/>
      </c>
      <c r="AA52" s="26" t="str">
        <f t="shared" ca="1" si="58"/>
        <v/>
      </c>
      <c r="AB52" s="26" t="str">
        <f t="shared" ca="1" si="58"/>
        <v/>
      </c>
      <c r="AC52" s="26" t="str">
        <f t="shared" ca="1" si="26"/>
        <v/>
      </c>
      <c r="AD52" s="26" t="str">
        <f t="shared" ca="1" si="26"/>
        <v/>
      </c>
      <c r="AE52" s="26" t="str">
        <f t="shared" ca="1" si="26"/>
        <v/>
      </c>
      <c r="AF52" s="26" t="str">
        <f t="shared" ca="1" si="26"/>
        <v/>
      </c>
      <c r="AG52" s="26" t="str">
        <f t="shared" ca="1" si="26"/>
        <v/>
      </c>
      <c r="AH52" s="26" t="str">
        <f t="shared" ca="1" si="26"/>
        <v/>
      </c>
      <c r="AI52" s="26" t="str">
        <f t="shared" ca="1" si="26"/>
        <v/>
      </c>
      <c r="AJ52" s="26" t="str">
        <f t="shared" ca="1" si="26"/>
        <v/>
      </c>
      <c r="AK52" s="26" t="str">
        <f t="shared" ca="1" si="26"/>
        <v/>
      </c>
      <c r="AL52" s="26" t="str">
        <f t="shared" ca="1" si="26"/>
        <v/>
      </c>
      <c r="AM52" s="26" t="str">
        <f t="shared" ca="1" si="26"/>
        <v/>
      </c>
      <c r="AN52" s="26" t="str">
        <f t="shared" ca="1" si="26"/>
        <v/>
      </c>
      <c r="AO52" s="26" t="str">
        <f t="shared" ref="AO52:BD54" ca="1" si="59">IF(AND($C52="Goal",AO$7&gt;=$F52,AO$7&lt;=$F52+$G52-1),2,IF(AND($C52="Milestone",AO$7&gt;=$F52,AO$7&lt;=$F52+$G52-1),1,""))</f>
        <v/>
      </c>
      <c r="AP52" s="26" t="str">
        <f t="shared" ca="1" si="59"/>
        <v/>
      </c>
      <c r="AQ52" s="26" t="str">
        <f t="shared" ca="1" si="59"/>
        <v/>
      </c>
      <c r="AR52" s="26" t="str">
        <f t="shared" ca="1" si="59"/>
        <v/>
      </c>
      <c r="AS52" s="26" t="str">
        <f t="shared" ca="1" si="59"/>
        <v/>
      </c>
      <c r="AT52" s="26" t="str">
        <f t="shared" ca="1" si="59"/>
        <v/>
      </c>
      <c r="AU52" s="26" t="str">
        <f t="shared" ca="1" si="59"/>
        <v/>
      </c>
      <c r="AV52" s="26" t="str">
        <f t="shared" ca="1" si="59"/>
        <v/>
      </c>
      <c r="AW52" s="26" t="str">
        <f t="shared" ca="1" si="28"/>
        <v/>
      </c>
      <c r="AX52" s="26" t="str">
        <f t="shared" ca="1" si="28"/>
        <v/>
      </c>
      <c r="AY52" s="26" t="str">
        <f t="shared" ca="1" si="28"/>
        <v/>
      </c>
      <c r="AZ52" s="26" t="str">
        <f t="shared" ca="1" si="28"/>
        <v/>
      </c>
      <c r="BA52" s="26" t="str">
        <f t="shared" ca="1" si="28"/>
        <v/>
      </c>
      <c r="BB52" s="26" t="str">
        <f t="shared" ca="1" si="28"/>
        <v/>
      </c>
      <c r="BC52" s="26" t="str">
        <f t="shared" ca="1" si="28"/>
        <v/>
      </c>
      <c r="BD52" s="26" t="str">
        <f t="shared" ca="1" si="28"/>
        <v/>
      </c>
      <c r="BE52" s="26" t="str">
        <f t="shared" ca="1" si="28"/>
        <v/>
      </c>
      <c r="BF52" s="26" t="str">
        <f t="shared" ca="1" si="28"/>
        <v/>
      </c>
      <c r="BG52" s="26" t="str">
        <f t="shared" ca="1" si="28"/>
        <v/>
      </c>
      <c r="BH52" s="26" t="str">
        <f t="shared" ca="1" si="28"/>
        <v/>
      </c>
      <c r="BI52" s="26" t="str">
        <f t="shared" ca="1" si="28"/>
        <v/>
      </c>
      <c r="BJ52" s="26" t="str">
        <f t="shared" ca="1" si="28"/>
        <v/>
      </c>
      <c r="BK52" s="26" t="str">
        <f t="shared" ca="1" si="28"/>
        <v/>
      </c>
      <c r="BL52" s="26" t="str">
        <f t="shared" ca="1" si="28"/>
        <v/>
      </c>
    </row>
    <row r="53" spans="1:66" s="1" customFormat="1" ht="40" customHeight="1" x14ac:dyDescent="0.2">
      <c r="A53" s="9"/>
      <c r="B53" s="134" t="s">
        <v>66</v>
      </c>
      <c r="C53" s="57" t="s">
        <v>35</v>
      </c>
      <c r="D53" s="57" t="s">
        <v>54</v>
      </c>
      <c r="E53" s="58">
        <v>1</v>
      </c>
      <c r="F53" s="59">
        <v>45952</v>
      </c>
      <c r="G53" s="60">
        <v>7</v>
      </c>
      <c r="H53" s="57"/>
      <c r="I53" s="26" t="str">
        <f t="shared" ca="1" si="25"/>
        <v/>
      </c>
      <c r="J53" s="26" t="str">
        <f t="shared" ca="1" si="25"/>
        <v/>
      </c>
      <c r="K53" s="26" t="str">
        <f t="shared" ca="1" si="25"/>
        <v/>
      </c>
      <c r="L53" s="26" t="str">
        <f t="shared" ca="1" si="25"/>
        <v/>
      </c>
      <c r="M53" s="26" t="str">
        <f t="shared" ca="1" si="25"/>
        <v/>
      </c>
      <c r="N53" s="26" t="str">
        <f t="shared" ca="1" si="25"/>
        <v/>
      </c>
      <c r="O53" s="26" t="str">
        <f t="shared" ca="1" si="25"/>
        <v/>
      </c>
      <c r="P53" s="26" t="str">
        <f t="shared" ca="1" si="25"/>
        <v/>
      </c>
      <c r="Q53" s="26" t="str">
        <f t="shared" ca="1" si="25"/>
        <v/>
      </c>
      <c r="R53" s="26" t="str">
        <f t="shared" ca="1" si="25"/>
        <v/>
      </c>
      <c r="S53" s="26" t="str">
        <f t="shared" ca="1" si="25"/>
        <v/>
      </c>
      <c r="T53" s="26" t="str">
        <f t="shared" ca="1" si="25"/>
        <v/>
      </c>
      <c r="U53" s="26" t="str">
        <f t="shared" ca="1" si="25"/>
        <v/>
      </c>
      <c r="V53" s="26" t="str">
        <f t="shared" ca="1" si="25"/>
        <v/>
      </c>
      <c r="W53" s="26" t="str">
        <f t="shared" ca="1" si="25"/>
        <v/>
      </c>
      <c r="X53" s="26" t="str">
        <f t="shared" ca="1" si="25"/>
        <v/>
      </c>
      <c r="Y53" s="26" t="str">
        <f t="shared" ca="1" si="58"/>
        <v/>
      </c>
      <c r="Z53" s="26" t="str">
        <f t="shared" ca="1" si="58"/>
        <v/>
      </c>
      <c r="AA53" s="26" t="str">
        <f t="shared" ca="1" si="58"/>
        <v/>
      </c>
      <c r="AB53" s="26" t="str">
        <f t="shared" ca="1" si="58"/>
        <v/>
      </c>
      <c r="AC53" s="26" t="str">
        <f t="shared" ca="1" si="58"/>
        <v/>
      </c>
      <c r="AD53" s="26" t="str">
        <f t="shared" ca="1" si="58"/>
        <v/>
      </c>
      <c r="AE53" s="26" t="str">
        <f t="shared" ca="1" si="58"/>
        <v/>
      </c>
      <c r="AF53" s="26" t="str">
        <f t="shared" ca="1" si="58"/>
        <v/>
      </c>
      <c r="AG53" s="26" t="str">
        <f t="shared" ca="1" si="58"/>
        <v/>
      </c>
      <c r="AH53" s="26" t="str">
        <f t="shared" ca="1" si="58"/>
        <v/>
      </c>
      <c r="AI53" s="26" t="str">
        <f t="shared" ca="1" si="58"/>
        <v/>
      </c>
      <c r="AJ53" s="26" t="str">
        <f t="shared" ca="1" si="58"/>
        <v/>
      </c>
      <c r="AK53" s="26" t="str">
        <f t="shared" ca="1" si="58"/>
        <v/>
      </c>
      <c r="AL53" s="26" t="str">
        <f t="shared" ca="1" si="58"/>
        <v/>
      </c>
      <c r="AM53" s="26" t="str">
        <f t="shared" ca="1" si="58"/>
        <v/>
      </c>
      <c r="AN53" s="26" t="str">
        <f t="shared" ca="1" si="58"/>
        <v/>
      </c>
      <c r="AO53" s="26" t="str">
        <f t="shared" ca="1" si="59"/>
        <v/>
      </c>
      <c r="AP53" s="26" t="str">
        <f t="shared" ca="1" si="59"/>
        <v/>
      </c>
      <c r="AQ53" s="26" t="str">
        <f t="shared" ca="1" si="59"/>
        <v/>
      </c>
      <c r="AR53" s="26" t="str">
        <f t="shared" ca="1" si="59"/>
        <v/>
      </c>
      <c r="AS53" s="26" t="str">
        <f t="shared" ca="1" si="59"/>
        <v/>
      </c>
      <c r="AT53" s="26" t="str">
        <f t="shared" ca="1" si="59"/>
        <v/>
      </c>
      <c r="AU53" s="26" t="str">
        <f t="shared" ca="1" si="59"/>
        <v/>
      </c>
      <c r="AV53" s="26" t="str">
        <f t="shared" ca="1" si="59"/>
        <v/>
      </c>
      <c r="AW53" s="26" t="str">
        <f t="shared" ca="1" si="59"/>
        <v/>
      </c>
      <c r="AX53" s="26" t="str">
        <f t="shared" ca="1" si="59"/>
        <v/>
      </c>
      <c r="AY53" s="26" t="str">
        <f t="shared" ca="1" si="59"/>
        <v/>
      </c>
      <c r="AZ53" s="26" t="str">
        <f t="shared" ca="1" si="59"/>
        <v/>
      </c>
      <c r="BA53" s="26" t="str">
        <f t="shared" ca="1" si="59"/>
        <v/>
      </c>
      <c r="BB53" s="26" t="str">
        <f t="shared" ca="1" si="59"/>
        <v/>
      </c>
      <c r="BC53" s="26" t="str">
        <f t="shared" ca="1" si="59"/>
        <v/>
      </c>
      <c r="BD53" s="26" t="str">
        <f t="shared" ca="1" si="59"/>
        <v/>
      </c>
      <c r="BE53" s="26" t="str">
        <f t="shared" ca="1" si="28"/>
        <v/>
      </c>
      <c r="BF53" s="26" t="str">
        <f t="shared" ca="1" si="28"/>
        <v/>
      </c>
      <c r="BG53" s="26" t="str">
        <f t="shared" ca="1" si="28"/>
        <v/>
      </c>
      <c r="BH53" s="26" t="str">
        <f t="shared" ca="1" si="28"/>
        <v/>
      </c>
      <c r="BI53" s="26" t="str">
        <f t="shared" ca="1" si="28"/>
        <v/>
      </c>
      <c r="BJ53" s="26" t="str">
        <f t="shared" ca="1" si="28"/>
        <v/>
      </c>
      <c r="BK53" s="26" t="str">
        <f t="shared" ca="1" si="28"/>
        <v/>
      </c>
      <c r="BL53" s="26" t="str">
        <f t="shared" ca="1" si="28"/>
        <v/>
      </c>
    </row>
    <row r="54" spans="1:66" s="1" customFormat="1" ht="40" customHeight="1" x14ac:dyDescent="0.2">
      <c r="A54" s="9"/>
      <c r="B54" s="134" t="s">
        <v>67</v>
      </c>
      <c r="C54" s="57" t="s">
        <v>35</v>
      </c>
      <c r="D54" s="57" t="s">
        <v>54</v>
      </c>
      <c r="E54" s="58">
        <v>1</v>
      </c>
      <c r="F54" s="59">
        <v>45961</v>
      </c>
      <c r="G54" s="60">
        <v>7</v>
      </c>
      <c r="H54" s="57"/>
      <c r="I54" s="26" t="str">
        <f t="shared" ca="1" si="25"/>
        <v/>
      </c>
      <c r="J54" s="26" t="str">
        <f t="shared" ca="1" si="25"/>
        <v/>
      </c>
      <c r="K54" s="123"/>
      <c r="L54" s="26" t="str">
        <f t="shared" ca="1" si="25"/>
        <v/>
      </c>
      <c r="M54" s="26" t="str">
        <f t="shared" ca="1" si="25"/>
        <v/>
      </c>
      <c r="N54" s="26" t="str">
        <f t="shared" ca="1" si="25"/>
        <v/>
      </c>
      <c r="O54" s="26" t="str">
        <f t="shared" ca="1" si="25"/>
        <v/>
      </c>
      <c r="P54" s="26" t="str">
        <f t="shared" ca="1" si="25"/>
        <v/>
      </c>
      <c r="Q54" s="26" t="str">
        <f t="shared" ca="1" si="25"/>
        <v/>
      </c>
      <c r="R54" s="26" t="str">
        <f t="shared" ca="1" si="25"/>
        <v/>
      </c>
      <c r="S54" s="26" t="str">
        <f t="shared" ca="1" si="25"/>
        <v/>
      </c>
      <c r="T54" s="26" t="str">
        <f t="shared" ca="1" si="25"/>
        <v/>
      </c>
      <c r="U54" s="26" t="str">
        <f t="shared" ca="1" si="25"/>
        <v/>
      </c>
      <c r="V54" s="26" t="str">
        <f t="shared" ca="1" si="25"/>
        <v/>
      </c>
      <c r="W54" s="26" t="str">
        <f t="shared" ca="1" si="25"/>
        <v/>
      </c>
      <c r="X54" s="26" t="str">
        <f t="shared" ca="1" si="25"/>
        <v/>
      </c>
      <c r="Y54" s="26" t="str">
        <f t="shared" ca="1" si="58"/>
        <v/>
      </c>
      <c r="Z54" s="26" t="str">
        <f t="shared" ca="1" si="58"/>
        <v/>
      </c>
      <c r="AA54" s="26" t="str">
        <f t="shared" ca="1" si="58"/>
        <v/>
      </c>
      <c r="AB54" s="26" t="str">
        <f t="shared" ca="1" si="58"/>
        <v/>
      </c>
      <c r="AC54" s="26" t="str">
        <f t="shared" ca="1" si="58"/>
        <v/>
      </c>
      <c r="AD54" s="26" t="str">
        <f t="shared" ca="1" si="58"/>
        <v/>
      </c>
      <c r="AE54" s="26" t="str">
        <f t="shared" ca="1" si="58"/>
        <v/>
      </c>
      <c r="AF54" s="26" t="str">
        <f t="shared" ca="1" si="58"/>
        <v/>
      </c>
      <c r="AG54" s="26" t="str">
        <f t="shared" ca="1" si="58"/>
        <v/>
      </c>
      <c r="AH54" s="26" t="str">
        <f t="shared" ca="1" si="58"/>
        <v/>
      </c>
      <c r="AI54" s="26" t="str">
        <f t="shared" ca="1" si="58"/>
        <v/>
      </c>
      <c r="AJ54" s="26" t="str">
        <f t="shared" ca="1" si="58"/>
        <v/>
      </c>
      <c r="AK54" s="26" t="str">
        <f t="shared" ca="1" si="58"/>
        <v/>
      </c>
      <c r="AL54" s="26" t="str">
        <f t="shared" ca="1" si="58"/>
        <v/>
      </c>
      <c r="AM54" s="26" t="str">
        <f t="shared" ca="1" si="58"/>
        <v/>
      </c>
      <c r="AN54" s="26" t="str">
        <f t="shared" ca="1" si="58"/>
        <v/>
      </c>
      <c r="AO54" s="26" t="str">
        <f t="shared" ca="1" si="59"/>
        <v/>
      </c>
      <c r="AP54" s="26" t="str">
        <f t="shared" ca="1" si="59"/>
        <v/>
      </c>
      <c r="AQ54" s="26" t="str">
        <f t="shared" ca="1" si="59"/>
        <v/>
      </c>
      <c r="AR54" s="26" t="str">
        <f t="shared" ca="1" si="59"/>
        <v/>
      </c>
      <c r="AS54" s="26" t="str">
        <f t="shared" ca="1" si="59"/>
        <v/>
      </c>
      <c r="AT54" s="26" t="str">
        <f t="shared" ca="1" si="59"/>
        <v/>
      </c>
      <c r="AU54" s="26" t="str">
        <f t="shared" ca="1" si="59"/>
        <v/>
      </c>
      <c r="AV54" s="26" t="str">
        <f t="shared" ca="1" si="59"/>
        <v/>
      </c>
      <c r="AW54" s="26" t="str">
        <f t="shared" ca="1" si="59"/>
        <v/>
      </c>
      <c r="AX54" s="26" t="str">
        <f t="shared" ca="1" si="59"/>
        <v/>
      </c>
      <c r="AY54" s="26" t="str">
        <f t="shared" ca="1" si="59"/>
        <v/>
      </c>
      <c r="AZ54" s="26" t="str">
        <f t="shared" ca="1" si="59"/>
        <v/>
      </c>
      <c r="BA54" s="26" t="str">
        <f t="shared" ca="1" si="59"/>
        <v/>
      </c>
      <c r="BB54" s="26" t="str">
        <f t="shared" ca="1" si="59"/>
        <v/>
      </c>
      <c r="BC54" s="26" t="str">
        <f t="shared" ca="1" si="59"/>
        <v/>
      </c>
      <c r="BD54" s="26" t="str">
        <f t="shared" ca="1" si="59"/>
        <v/>
      </c>
      <c r="BE54" s="26" t="str">
        <f t="shared" ca="1" si="28"/>
        <v/>
      </c>
      <c r="BF54" s="26" t="str">
        <f t="shared" ca="1" si="28"/>
        <v/>
      </c>
      <c r="BG54" s="26" t="str">
        <f t="shared" ca="1" si="28"/>
        <v/>
      </c>
      <c r="BH54" s="26" t="str">
        <f t="shared" ca="1" si="28"/>
        <v/>
      </c>
      <c r="BI54" s="26" t="str">
        <f t="shared" ca="1" si="28"/>
        <v/>
      </c>
      <c r="BJ54" s="26" t="str">
        <f t="shared" ca="1" si="28"/>
        <v/>
      </c>
      <c r="BK54" s="26" t="str">
        <f t="shared" ca="1" si="28"/>
        <v/>
      </c>
      <c r="BL54" s="26" t="str">
        <f t="shared" ca="1" si="28"/>
        <v/>
      </c>
    </row>
    <row r="55" spans="1:66" s="1" customFormat="1" ht="40" customHeight="1" x14ac:dyDescent="0.2">
      <c r="A55" s="9"/>
      <c r="B55" s="134" t="s">
        <v>68</v>
      </c>
      <c r="C55" s="57" t="s">
        <v>20</v>
      </c>
      <c r="D55" s="57" t="s">
        <v>36</v>
      </c>
      <c r="E55" s="58">
        <v>1</v>
      </c>
      <c r="F55" s="59">
        <v>45961</v>
      </c>
      <c r="G55" s="60">
        <v>7</v>
      </c>
      <c r="H55" s="57"/>
      <c r="I55" s="26"/>
      <c r="J55" s="26"/>
      <c r="K55" s="123"/>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row>
    <row r="56" spans="1:66" s="1" customFormat="1" ht="40" customHeight="1" x14ac:dyDescent="0.2">
      <c r="A56" s="9"/>
      <c r="B56" s="134" t="s">
        <v>69</v>
      </c>
      <c r="C56" s="57" t="s">
        <v>35</v>
      </c>
      <c r="D56" s="57" t="s">
        <v>70</v>
      </c>
      <c r="E56" s="58">
        <v>1</v>
      </c>
      <c r="F56" s="59">
        <v>45961</v>
      </c>
      <c r="G56" s="60">
        <v>7</v>
      </c>
      <c r="H56" s="57"/>
      <c r="I56" s="26" t="str">
        <f t="shared" ca="1" si="18"/>
        <v/>
      </c>
      <c r="J56" s="26" t="str">
        <f t="shared" ca="1" si="18"/>
        <v/>
      </c>
      <c r="K56" s="26" t="str">
        <f t="shared" ca="1" si="18"/>
        <v/>
      </c>
      <c r="L56" s="26" t="str">
        <f t="shared" ca="1" si="18"/>
        <v/>
      </c>
      <c r="M56" s="123" t="str">
        <f t="shared" ca="1" si="18"/>
        <v/>
      </c>
      <c r="N56" s="123"/>
      <c r="O56" s="123" t="str">
        <f t="shared" ref="O56:P57" ca="1" si="60">IF(AND($C56="Goal",O$7&gt;=$F56,O$7&lt;=$F56+$G56-1),2,IF(AND($C56="Milestone",O$7&gt;=$F56,O$7&lt;=$F56+$G56-1),1,""))</f>
        <v/>
      </c>
      <c r="P56" s="124" t="str">
        <f t="shared" ref="P56" si="61">B43</f>
        <v>write unit tests for search functionality</v>
      </c>
      <c r="Q56" s="26" t="str">
        <f t="shared" ref="Q56:AF57" ca="1" si="62">IF(AND($C56="Goal",Q$7&gt;=$F56,Q$7&lt;=$F56+$G56-1),2,IF(AND($C56="Milestone",Q$7&gt;=$F56,Q$7&lt;=$F56+$G56-1),1,""))</f>
        <v/>
      </c>
      <c r="R56" s="26" t="str">
        <f t="shared" ca="1" si="62"/>
        <v/>
      </c>
      <c r="S56" s="26" t="str">
        <f t="shared" ca="1" si="62"/>
        <v/>
      </c>
      <c r="T56" s="26" t="str">
        <f t="shared" ca="1" si="62"/>
        <v/>
      </c>
      <c r="U56" s="26" t="str">
        <f t="shared" ca="1" si="62"/>
        <v/>
      </c>
      <c r="V56" s="26" t="str">
        <f t="shared" ca="1" si="62"/>
        <v/>
      </c>
      <c r="W56" s="26" t="str">
        <f t="shared" ca="1" si="62"/>
        <v/>
      </c>
      <c r="X56" s="26" t="str">
        <f t="shared" ca="1" si="62"/>
        <v/>
      </c>
      <c r="Y56" s="26" t="str">
        <f t="shared" ca="1" si="62"/>
        <v/>
      </c>
      <c r="Z56" s="26" t="str">
        <f t="shared" ca="1" si="62"/>
        <v/>
      </c>
      <c r="AA56" s="26" t="str">
        <f t="shared" ca="1" si="62"/>
        <v/>
      </c>
      <c r="AB56" s="26" t="str">
        <f t="shared" ca="1" si="62"/>
        <v/>
      </c>
      <c r="AC56" s="26" t="str">
        <f t="shared" ca="1" si="62"/>
        <v/>
      </c>
      <c r="AD56" s="26" t="str">
        <f t="shared" ca="1" si="62"/>
        <v/>
      </c>
      <c r="AE56" s="26" t="str">
        <f t="shared" ca="1" si="62"/>
        <v/>
      </c>
      <c r="AF56" s="26" t="str">
        <f t="shared" ca="1" si="62"/>
        <v/>
      </c>
      <c r="AG56" s="26" t="str">
        <f t="shared" ref="AG56:AV57" ca="1" si="63">IF(AND($C56="Goal",AG$7&gt;=$F56,AG$7&lt;=$F56+$G56-1),2,IF(AND($C56="Milestone",AG$7&gt;=$F56,AG$7&lt;=$F56+$G56-1),1,""))</f>
        <v/>
      </c>
      <c r="AH56" s="26" t="str">
        <f t="shared" ca="1" si="63"/>
        <v/>
      </c>
      <c r="AI56" s="26" t="str">
        <f t="shared" ca="1" si="63"/>
        <v/>
      </c>
      <c r="AJ56" s="26" t="str">
        <f t="shared" ca="1" si="63"/>
        <v/>
      </c>
      <c r="AK56" s="26" t="str">
        <f t="shared" ca="1" si="63"/>
        <v/>
      </c>
      <c r="AL56" s="26" t="str">
        <f t="shared" ca="1" si="63"/>
        <v/>
      </c>
      <c r="AM56" s="26" t="str">
        <f t="shared" ca="1" si="63"/>
        <v/>
      </c>
      <c r="AN56" s="26" t="str">
        <f t="shared" ca="1" si="63"/>
        <v/>
      </c>
      <c r="AO56" s="26" t="str">
        <f t="shared" ca="1" si="63"/>
        <v/>
      </c>
      <c r="AP56" s="26" t="str">
        <f t="shared" ca="1" si="63"/>
        <v/>
      </c>
      <c r="AQ56" s="26" t="str">
        <f t="shared" ca="1" si="63"/>
        <v/>
      </c>
      <c r="AR56" s="26" t="str">
        <f t="shared" ca="1" si="63"/>
        <v/>
      </c>
      <c r="AS56" s="26" t="str">
        <f t="shared" ca="1" si="63"/>
        <v/>
      </c>
      <c r="AT56" s="26" t="str">
        <f t="shared" ca="1" si="63"/>
        <v/>
      </c>
      <c r="AU56" s="26" t="str">
        <f t="shared" ca="1" si="63"/>
        <v/>
      </c>
      <c r="AV56" s="26" t="str">
        <f t="shared" ca="1" si="63"/>
        <v/>
      </c>
      <c r="AW56" s="26" t="str">
        <f t="shared" ref="AW56:BL57" ca="1" si="64">IF(AND($C56="Goal",AW$7&gt;=$F56,AW$7&lt;=$F56+$G56-1),2,IF(AND($C56="Milestone",AW$7&gt;=$F56,AW$7&lt;=$F56+$G56-1),1,""))</f>
        <v/>
      </c>
      <c r="AX56" s="26" t="str">
        <f t="shared" ca="1" si="64"/>
        <v/>
      </c>
      <c r="AY56" s="26" t="str">
        <f t="shared" ca="1" si="64"/>
        <v/>
      </c>
      <c r="AZ56" s="26" t="str">
        <f t="shared" ca="1" si="64"/>
        <v/>
      </c>
      <c r="BA56" s="26" t="str">
        <f t="shared" ca="1" si="64"/>
        <v/>
      </c>
      <c r="BB56" s="26" t="str">
        <f t="shared" ca="1" si="64"/>
        <v/>
      </c>
      <c r="BC56" s="26" t="str">
        <f t="shared" ca="1" si="64"/>
        <v/>
      </c>
      <c r="BD56" s="26" t="str">
        <f t="shared" ca="1" si="64"/>
        <v/>
      </c>
      <c r="BE56" s="26" t="str">
        <f t="shared" ca="1" si="64"/>
        <v/>
      </c>
      <c r="BF56" s="26" t="str">
        <f t="shared" ca="1" si="64"/>
        <v/>
      </c>
      <c r="BG56" s="26" t="str">
        <f t="shared" ca="1" si="64"/>
        <v/>
      </c>
      <c r="BH56" s="26" t="str">
        <f t="shared" ca="1" si="64"/>
        <v/>
      </c>
      <c r="BI56" s="26" t="str">
        <f t="shared" ca="1" si="64"/>
        <v/>
      </c>
      <c r="BJ56" s="26" t="str">
        <f t="shared" ca="1" si="64"/>
        <v/>
      </c>
      <c r="BK56" s="26" t="str">
        <f t="shared" ca="1" si="64"/>
        <v/>
      </c>
      <c r="BL56" s="26" t="str">
        <f t="shared" ca="1" si="64"/>
        <v/>
      </c>
    </row>
    <row r="57" spans="1:66" s="1" customFormat="1" ht="40" customHeight="1" x14ac:dyDescent="0.2">
      <c r="A57" s="9"/>
      <c r="B57" s="134" t="s">
        <v>71</v>
      </c>
      <c r="C57" s="57" t="s">
        <v>20</v>
      </c>
      <c r="D57" s="57" t="s">
        <v>36</v>
      </c>
      <c r="E57" s="58">
        <v>1</v>
      </c>
      <c r="F57" s="59">
        <v>45961</v>
      </c>
      <c r="G57" s="60">
        <v>7</v>
      </c>
      <c r="H57" s="57"/>
      <c r="I57" s="26" t="str">
        <f t="shared" ca="1" si="18"/>
        <v/>
      </c>
      <c r="J57" s="26" t="str">
        <f t="shared" ca="1" si="18"/>
        <v/>
      </c>
      <c r="K57" s="26" t="str">
        <f t="shared" ca="1" si="18"/>
        <v/>
      </c>
      <c r="L57" s="26" t="str">
        <f t="shared" ca="1" si="18"/>
        <v/>
      </c>
      <c r="M57" s="26" t="str">
        <f t="shared" ca="1" si="18"/>
        <v/>
      </c>
      <c r="N57" s="26" t="str">
        <f t="shared" ca="1" si="18"/>
        <v/>
      </c>
      <c r="O57" s="26" t="str">
        <f t="shared" ca="1" si="60"/>
        <v/>
      </c>
      <c r="P57" s="123" t="str">
        <f t="shared" ca="1" si="60"/>
        <v/>
      </c>
      <c r="Q57" s="123" t="str">
        <f t="shared" ca="1" si="62"/>
        <v/>
      </c>
      <c r="R57" s="123" t="str">
        <f t="shared" ref="R57" ca="1" si="65">S57</f>
        <v/>
      </c>
      <c r="S57" s="26" t="str">
        <f t="shared" ca="1" si="62"/>
        <v/>
      </c>
      <c r="T57" s="26" t="str">
        <f t="shared" ca="1" si="62"/>
        <v/>
      </c>
      <c r="U57" s="26" t="str">
        <f t="shared" ca="1" si="62"/>
        <v/>
      </c>
      <c r="V57" s="26" t="str">
        <f t="shared" ca="1" si="62"/>
        <v/>
      </c>
      <c r="W57" s="26" t="str">
        <f t="shared" ca="1" si="62"/>
        <v/>
      </c>
      <c r="X57" s="26" t="str">
        <f t="shared" ca="1" si="62"/>
        <v/>
      </c>
      <c r="Y57" s="26" t="str">
        <f t="shared" ca="1" si="62"/>
        <v/>
      </c>
      <c r="Z57" s="26" t="str">
        <f t="shared" ca="1" si="62"/>
        <v/>
      </c>
      <c r="AA57" s="26" t="str">
        <f t="shared" ca="1" si="62"/>
        <v/>
      </c>
      <c r="AB57" s="26" t="str">
        <f t="shared" ca="1" si="62"/>
        <v/>
      </c>
      <c r="AC57" s="26" t="str">
        <f t="shared" ca="1" si="62"/>
        <v/>
      </c>
      <c r="AD57" s="26" t="str">
        <f t="shared" ca="1" si="62"/>
        <v/>
      </c>
      <c r="AE57" s="26" t="str">
        <f t="shared" ca="1" si="62"/>
        <v/>
      </c>
      <c r="AF57" s="26" t="str">
        <f t="shared" ca="1" si="62"/>
        <v/>
      </c>
      <c r="AG57" s="26" t="str">
        <f t="shared" ca="1" si="63"/>
        <v/>
      </c>
      <c r="AH57" s="26" t="str">
        <f t="shared" ca="1" si="63"/>
        <v/>
      </c>
      <c r="AI57" s="26" t="str">
        <f t="shared" ca="1" si="63"/>
        <v/>
      </c>
      <c r="AJ57" s="26" t="str">
        <f t="shared" ca="1" si="63"/>
        <v/>
      </c>
      <c r="AK57" s="26" t="str">
        <f t="shared" ca="1" si="63"/>
        <v/>
      </c>
      <c r="AL57" s="26" t="str">
        <f t="shared" ca="1" si="63"/>
        <v/>
      </c>
      <c r="AM57" s="26" t="str">
        <f t="shared" ca="1" si="63"/>
        <v/>
      </c>
      <c r="AN57" s="26" t="str">
        <f t="shared" ca="1" si="63"/>
        <v/>
      </c>
      <c r="AO57" s="26" t="str">
        <f t="shared" ca="1" si="63"/>
        <v/>
      </c>
      <c r="AP57" s="26" t="str">
        <f t="shared" ca="1" si="63"/>
        <v/>
      </c>
      <c r="AQ57" s="26" t="str">
        <f t="shared" ca="1" si="63"/>
        <v/>
      </c>
      <c r="AR57" s="26" t="str">
        <f t="shared" ca="1" si="63"/>
        <v/>
      </c>
      <c r="AS57" s="26" t="str">
        <f t="shared" ca="1" si="63"/>
        <v/>
      </c>
      <c r="AT57" s="26" t="str">
        <f t="shared" ca="1" si="63"/>
        <v/>
      </c>
      <c r="AU57" s="26" t="str">
        <f t="shared" ca="1" si="63"/>
        <v/>
      </c>
      <c r="AV57" s="26" t="str">
        <f t="shared" ca="1" si="63"/>
        <v/>
      </c>
      <c r="AW57" s="26" t="str">
        <f t="shared" ca="1" si="64"/>
        <v/>
      </c>
      <c r="AX57" s="26" t="str">
        <f t="shared" ca="1" si="64"/>
        <v/>
      </c>
      <c r="AY57" s="26" t="str">
        <f t="shared" ca="1" si="64"/>
        <v/>
      </c>
      <c r="AZ57" s="26" t="str">
        <f t="shared" ca="1" si="64"/>
        <v/>
      </c>
      <c r="BA57" s="26" t="str">
        <f t="shared" ca="1" si="64"/>
        <v/>
      </c>
      <c r="BB57" s="26" t="str">
        <f t="shared" ca="1" si="64"/>
        <v/>
      </c>
      <c r="BC57" s="26" t="str">
        <f t="shared" ca="1" si="64"/>
        <v/>
      </c>
      <c r="BD57" s="26" t="str">
        <f t="shared" ca="1" si="64"/>
        <v/>
      </c>
      <c r="BE57" s="26" t="str">
        <f t="shared" ca="1" si="64"/>
        <v/>
      </c>
      <c r="BF57" s="26" t="str">
        <f t="shared" ca="1" si="64"/>
        <v/>
      </c>
      <c r="BG57" s="26" t="str">
        <f t="shared" ca="1" si="64"/>
        <v/>
      </c>
      <c r="BH57" s="26" t="str">
        <f t="shared" ca="1" si="64"/>
        <v/>
      </c>
      <c r="BI57" s="26" t="str">
        <f t="shared" ca="1" si="64"/>
        <v/>
      </c>
      <c r="BJ57" s="26" t="str">
        <f t="shared" ca="1" si="64"/>
        <v/>
      </c>
      <c r="BK57" s="26" t="str">
        <f t="shared" ca="1" si="64"/>
        <v/>
      </c>
      <c r="BL57" s="26" t="str">
        <f t="shared" ca="1" si="64"/>
        <v/>
      </c>
    </row>
    <row r="58" spans="1:66" s="1" customFormat="1" ht="40" customHeight="1" x14ac:dyDescent="0.2">
      <c r="A58" s="9"/>
      <c r="B58" s="134" t="s">
        <v>72</v>
      </c>
      <c r="C58" s="57" t="s">
        <v>20</v>
      </c>
      <c r="D58" s="57" t="s">
        <v>36</v>
      </c>
      <c r="E58" s="58">
        <v>1</v>
      </c>
      <c r="F58" s="125">
        <v>45961</v>
      </c>
      <c r="G58" s="126">
        <v>4</v>
      </c>
      <c r="H58" s="57"/>
      <c r="I58" s="26"/>
      <c r="J58" s="26"/>
      <c r="K58" s="26"/>
      <c r="L58" s="26"/>
      <c r="M58" s="26"/>
      <c r="N58" s="26"/>
      <c r="O58" s="26"/>
      <c r="P58" s="123"/>
      <c r="Q58" s="123"/>
      <c r="R58" s="123"/>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row>
    <row r="59" spans="1:66" s="1" customFormat="1" ht="40" customHeight="1" x14ac:dyDescent="0.2">
      <c r="A59" s="9"/>
      <c r="B59" s="134" t="s">
        <v>73</v>
      </c>
      <c r="C59" s="57" t="s">
        <v>35</v>
      </c>
      <c r="D59" s="57" t="s">
        <v>54</v>
      </c>
      <c r="E59" s="58">
        <v>1</v>
      </c>
      <c r="F59" s="59">
        <v>45961</v>
      </c>
      <c r="G59" s="60">
        <v>6</v>
      </c>
      <c r="H59" s="57"/>
      <c r="I59" s="26" t="str">
        <f t="shared" ca="1" si="25"/>
        <v/>
      </c>
      <c r="J59" s="26" t="str">
        <f t="shared" ca="1" si="25"/>
        <v/>
      </c>
      <c r="K59" s="26" t="str">
        <f t="shared" ca="1" si="25"/>
        <v/>
      </c>
      <c r="L59" s="26" t="str">
        <f t="shared" ca="1" si="25"/>
        <v/>
      </c>
      <c r="M59" s="26" t="str">
        <f t="shared" ca="1" si="25"/>
        <v/>
      </c>
      <c r="N59" s="26" t="str">
        <f t="shared" ca="1" si="25"/>
        <v/>
      </c>
      <c r="O59" s="26" t="str">
        <f t="shared" ca="1" si="25"/>
        <v/>
      </c>
      <c r="P59" s="26" t="str">
        <f t="shared" ca="1" si="25"/>
        <v/>
      </c>
      <c r="Q59" s="26" t="str">
        <f t="shared" ca="1" si="25"/>
        <v/>
      </c>
      <c r="R59" s="123" t="str">
        <f t="shared" ca="1" si="25"/>
        <v/>
      </c>
      <c r="S59" s="123" t="str">
        <f t="shared" ca="1" si="25"/>
        <v/>
      </c>
      <c r="T59" s="123" t="str">
        <f t="shared" ca="1" si="25"/>
        <v/>
      </c>
      <c r="U59" s="26" t="str">
        <f t="shared" ca="1" si="25"/>
        <v/>
      </c>
      <c r="V59" s="26" t="str">
        <f t="shared" ca="1" si="25"/>
        <v/>
      </c>
      <c r="W59" s="26" t="str">
        <f t="shared" ca="1" si="25"/>
        <v/>
      </c>
      <c r="X59" s="26" t="str">
        <f t="shared" ca="1" si="25"/>
        <v/>
      </c>
      <c r="Y59" s="26" t="str">
        <f t="shared" ref="S59:AH73" ca="1" si="66">IF(AND($C59="Goal",Y$7&gt;=$F59,Y$7&lt;=$F59+$G59-1),2,IF(AND($C59="Milestone",Y$7&gt;=$F59,Y$7&lt;=$F59+$G59-1),1,""))</f>
        <v/>
      </c>
      <c r="Z59" s="26" t="str">
        <f t="shared" ca="1" si="66"/>
        <v/>
      </c>
      <c r="AA59" s="26" t="str">
        <f t="shared" ca="1" si="66"/>
        <v/>
      </c>
      <c r="AB59" s="26" t="str">
        <f t="shared" ca="1" si="66"/>
        <v/>
      </c>
      <c r="AC59" s="26" t="str">
        <f t="shared" ca="1" si="26"/>
        <v/>
      </c>
      <c r="AD59" s="26" t="str">
        <f t="shared" ca="1" si="26"/>
        <v/>
      </c>
      <c r="AE59" s="26" t="str">
        <f t="shared" ca="1" si="26"/>
        <v/>
      </c>
      <c r="AF59" s="26" t="str">
        <f t="shared" ca="1" si="26"/>
        <v/>
      </c>
      <c r="AG59" s="26" t="str">
        <f t="shared" ca="1" si="26"/>
        <v/>
      </c>
      <c r="AH59" s="26" t="str">
        <f t="shared" ca="1" si="26"/>
        <v/>
      </c>
      <c r="AI59" s="26" t="str">
        <f t="shared" ca="1" si="26"/>
        <v/>
      </c>
      <c r="AJ59" s="26" t="str">
        <f t="shared" ca="1" si="26"/>
        <v/>
      </c>
      <c r="AK59" s="26" t="str">
        <f t="shared" ca="1" si="26"/>
        <v/>
      </c>
      <c r="AL59" s="26" t="str">
        <f t="shared" ca="1" si="26"/>
        <v/>
      </c>
      <c r="AM59" s="26" t="str">
        <f t="shared" ca="1" si="26"/>
        <v/>
      </c>
      <c r="AN59" s="26" t="str">
        <f t="shared" ca="1" si="26"/>
        <v/>
      </c>
      <c r="AO59" s="26" t="str">
        <f t="shared" ref="AO59:BD61" ca="1" si="67">IF(AND($C59="Goal",AO$7&gt;=$F59,AO$7&lt;=$F59+$G59-1),2,IF(AND($C59="Milestone",AO$7&gt;=$F59,AO$7&lt;=$F59+$G59-1),1,""))</f>
        <v/>
      </c>
      <c r="AP59" s="26" t="str">
        <f t="shared" ca="1" si="67"/>
        <v/>
      </c>
      <c r="AQ59" s="26" t="str">
        <f t="shared" ca="1" si="67"/>
        <v/>
      </c>
      <c r="AR59" s="26" t="str">
        <f t="shared" ca="1" si="67"/>
        <v/>
      </c>
      <c r="AS59" s="26" t="str">
        <f t="shared" ca="1" si="67"/>
        <v/>
      </c>
      <c r="AT59" s="26" t="str">
        <f t="shared" ca="1" si="67"/>
        <v/>
      </c>
      <c r="AU59" s="26" t="str">
        <f t="shared" ca="1" si="67"/>
        <v/>
      </c>
      <c r="AV59" s="26" t="str">
        <f t="shared" ca="1" si="67"/>
        <v/>
      </c>
      <c r="AW59" s="26" t="str">
        <f t="shared" ca="1" si="28"/>
        <v/>
      </c>
      <c r="AX59" s="26" t="str">
        <f t="shared" ca="1" si="28"/>
        <v/>
      </c>
      <c r="AY59" s="26" t="str">
        <f t="shared" ca="1" si="28"/>
        <v/>
      </c>
      <c r="AZ59" s="26" t="str">
        <f t="shared" ca="1" si="28"/>
        <v/>
      </c>
      <c r="BA59" s="26" t="str">
        <f t="shared" ca="1" si="28"/>
        <v/>
      </c>
      <c r="BB59" s="26" t="str">
        <f t="shared" ca="1" si="28"/>
        <v/>
      </c>
      <c r="BC59" s="26" t="str">
        <f t="shared" ca="1" si="28"/>
        <v/>
      </c>
      <c r="BD59" s="26" t="str">
        <f t="shared" ca="1" si="28"/>
        <v/>
      </c>
      <c r="BE59" s="26" t="str">
        <f t="shared" ca="1" si="28"/>
        <v/>
      </c>
      <c r="BF59" s="26" t="str">
        <f t="shared" ca="1" si="28"/>
        <v/>
      </c>
      <c r="BG59" s="26" t="str">
        <f t="shared" ca="1" si="28"/>
        <v/>
      </c>
      <c r="BH59" s="26" t="str">
        <f t="shared" ca="1" si="28"/>
        <v/>
      </c>
      <c r="BI59" s="26" t="str">
        <f t="shared" ca="1" si="28"/>
        <v/>
      </c>
      <c r="BJ59" s="26" t="str">
        <f t="shared" ca="1" si="28"/>
        <v/>
      </c>
      <c r="BK59" s="26" t="str">
        <f t="shared" ca="1" si="28"/>
        <v/>
      </c>
      <c r="BL59" s="26" t="str">
        <f t="shared" ca="1" si="28"/>
        <v/>
      </c>
    </row>
    <row r="60" spans="1:66" s="1" customFormat="1" ht="40" customHeight="1" x14ac:dyDescent="0.2">
      <c r="A60" s="9"/>
      <c r="B60" s="134" t="s">
        <v>74</v>
      </c>
      <c r="C60" s="57" t="s">
        <v>35</v>
      </c>
      <c r="D60" s="57" t="s">
        <v>54</v>
      </c>
      <c r="E60" s="58">
        <v>1</v>
      </c>
      <c r="F60" s="59">
        <v>45967</v>
      </c>
      <c r="G60" s="60">
        <v>5</v>
      </c>
      <c r="H60" s="57"/>
      <c r="I60" s="26" t="str">
        <f t="shared" ca="1" si="25"/>
        <v/>
      </c>
      <c r="J60" s="26" t="str">
        <f t="shared" ca="1" si="25"/>
        <v/>
      </c>
      <c r="K60" s="26" t="str">
        <f t="shared" ca="1" si="25"/>
        <v/>
      </c>
      <c r="L60" s="26" t="str">
        <f t="shared" ca="1" si="25"/>
        <v/>
      </c>
      <c r="M60" s="26" t="str">
        <f t="shared" ref="M60:AB61" ca="1" si="68">IF(AND($C60="Goal",M$7&gt;=$F60,M$7&lt;=$F60+$G60-1),2,IF(AND($C60="Milestone",M$7&gt;=$F60,M$7&lt;=$F60+$G60-1),1,""))</f>
        <v/>
      </c>
      <c r="N60" s="26" t="str">
        <f t="shared" ca="1" si="68"/>
        <v/>
      </c>
      <c r="O60" s="26" t="str">
        <f t="shared" ca="1" si="68"/>
        <v/>
      </c>
      <c r="P60" s="26" t="str">
        <f t="shared" ca="1" si="68"/>
        <v/>
      </c>
      <c r="Q60" s="26" t="str">
        <f t="shared" ca="1" si="68"/>
        <v/>
      </c>
      <c r="R60" s="26" t="str">
        <f t="shared" ca="1" si="68"/>
        <v/>
      </c>
      <c r="S60" s="26" t="str">
        <f t="shared" ca="1" si="68"/>
        <v/>
      </c>
      <c r="T60" s="26" t="str">
        <f t="shared" ca="1" si="68"/>
        <v/>
      </c>
      <c r="U60" s="26" t="str">
        <f t="shared" ca="1" si="68"/>
        <v/>
      </c>
      <c r="V60" s="26" t="str">
        <f t="shared" ca="1" si="68"/>
        <v/>
      </c>
      <c r="W60" s="26" t="str">
        <f t="shared" ca="1" si="68"/>
        <v/>
      </c>
      <c r="X60" s="26" t="str">
        <f t="shared" ca="1" si="68"/>
        <v/>
      </c>
      <c r="Y60" s="26" t="str">
        <f t="shared" ca="1" si="68"/>
        <v/>
      </c>
      <c r="Z60" s="26" t="str">
        <f t="shared" ca="1" si="68"/>
        <v/>
      </c>
      <c r="AA60" s="26" t="str">
        <f t="shared" ca="1" si="68"/>
        <v/>
      </c>
      <c r="AB60" s="26" t="str">
        <f t="shared" ca="1" si="68"/>
        <v/>
      </c>
      <c r="AC60" s="26" t="str">
        <f t="shared" ca="1" si="26"/>
        <v/>
      </c>
      <c r="AD60" s="26" t="str">
        <f t="shared" ca="1" si="26"/>
        <v/>
      </c>
      <c r="AE60" s="26" t="str">
        <f t="shared" ca="1" si="26"/>
        <v/>
      </c>
      <c r="AF60" s="26" t="str">
        <f t="shared" ca="1" si="26"/>
        <v/>
      </c>
      <c r="AG60" s="26" t="str">
        <f t="shared" ca="1" si="26"/>
        <v/>
      </c>
      <c r="AH60" s="26" t="str">
        <f t="shared" ca="1" si="26"/>
        <v/>
      </c>
      <c r="AI60" s="26" t="str">
        <f t="shared" ca="1" si="26"/>
        <v/>
      </c>
      <c r="AJ60" s="26" t="str">
        <f t="shared" ca="1" si="26"/>
        <v/>
      </c>
      <c r="AK60" s="26" t="str">
        <f t="shared" ca="1" si="26"/>
        <v/>
      </c>
      <c r="AL60" s="26" t="str">
        <f t="shared" ca="1" si="26"/>
        <v/>
      </c>
      <c r="AM60" s="26" t="str">
        <f t="shared" ca="1" si="26"/>
        <v/>
      </c>
      <c r="AN60" s="26" t="str">
        <f t="shared" ca="1" si="26"/>
        <v/>
      </c>
      <c r="AO60" s="26" t="str">
        <f t="shared" ca="1" si="67"/>
        <v/>
      </c>
      <c r="AP60" s="26" t="str">
        <f t="shared" ca="1" si="67"/>
        <v/>
      </c>
      <c r="AQ60" s="26" t="str">
        <f t="shared" ca="1" si="67"/>
        <v/>
      </c>
      <c r="AR60" s="26" t="str">
        <f t="shared" ca="1" si="67"/>
        <v/>
      </c>
      <c r="AS60" s="26" t="str">
        <f t="shared" ca="1" si="67"/>
        <v/>
      </c>
      <c r="AT60" s="26" t="str">
        <f t="shared" ca="1" si="67"/>
        <v/>
      </c>
      <c r="AU60" s="26" t="str">
        <f t="shared" ca="1" si="67"/>
        <v/>
      </c>
      <c r="AV60" s="26" t="str">
        <f t="shared" ca="1" si="67"/>
        <v/>
      </c>
      <c r="AW60" s="26" t="str">
        <f t="shared" ca="1" si="67"/>
        <v/>
      </c>
      <c r="AX60" s="26" t="str">
        <f t="shared" ca="1" si="67"/>
        <v/>
      </c>
      <c r="AY60" s="26" t="str">
        <f t="shared" ca="1" si="67"/>
        <v/>
      </c>
      <c r="AZ60" s="26" t="str">
        <f t="shared" ca="1" si="67"/>
        <v/>
      </c>
      <c r="BA60" s="26" t="str">
        <f t="shared" ca="1" si="67"/>
        <v/>
      </c>
      <c r="BB60" s="26" t="str">
        <f t="shared" ca="1" si="67"/>
        <v/>
      </c>
      <c r="BC60" s="26" t="str">
        <f t="shared" ca="1" si="67"/>
        <v/>
      </c>
      <c r="BD60" s="26" t="str">
        <f t="shared" ca="1" si="67"/>
        <v/>
      </c>
      <c r="BE60" s="26" t="str">
        <f t="shared" ca="1" si="28"/>
        <v/>
      </c>
      <c r="BF60" s="26" t="str">
        <f t="shared" ca="1" si="28"/>
        <v/>
      </c>
      <c r="BG60" s="26" t="str">
        <f t="shared" ca="1" si="28"/>
        <v/>
      </c>
      <c r="BH60" s="26" t="str">
        <f t="shared" ca="1" si="28"/>
        <v/>
      </c>
      <c r="BI60" s="26" t="str">
        <f t="shared" ca="1" si="28"/>
        <v/>
      </c>
      <c r="BJ60" s="26" t="str">
        <f t="shared" ca="1" si="28"/>
        <v/>
      </c>
      <c r="BK60" s="26" t="str">
        <f t="shared" ca="1" si="28"/>
        <v/>
      </c>
      <c r="BL60" s="26" t="str">
        <f t="shared" ca="1" si="28"/>
        <v/>
      </c>
    </row>
    <row r="61" spans="1:66" s="1" customFormat="1" ht="40" customHeight="1" x14ac:dyDescent="0.2">
      <c r="A61" s="9"/>
      <c r="B61" s="134" t="s">
        <v>75</v>
      </c>
      <c r="C61" s="57" t="s">
        <v>35</v>
      </c>
      <c r="D61" s="57" t="s">
        <v>54</v>
      </c>
      <c r="E61" s="58">
        <v>1</v>
      </c>
      <c r="F61" s="59">
        <v>45970</v>
      </c>
      <c r="G61" s="60">
        <v>5</v>
      </c>
      <c r="H61" s="57"/>
      <c r="I61" s="26" t="str">
        <f t="shared" ref="I61:J61" ca="1" si="69">IF(AND($C61="Goal",I$7&gt;=$F61,I$7&lt;=$F61+$G61-1),2,IF(AND($C61="Milestone",I$7&gt;=$F61,I$7&lt;=$F61+$G61-1),1,""))</f>
        <v/>
      </c>
      <c r="J61" s="26" t="str">
        <f t="shared" ca="1" si="69"/>
        <v/>
      </c>
      <c r="K61" s="123"/>
      <c r="L61" s="26" t="str">
        <f t="shared" ref="L61:AA61" ca="1" si="70">IF(AND($C61="Goal",L$7&gt;=$F61,L$7&lt;=$F61+$G61-1),2,IF(AND($C61="Milestone",L$7&gt;=$F61,L$7&lt;=$F61+$G61-1),1,""))</f>
        <v/>
      </c>
      <c r="M61" s="26" t="str">
        <f t="shared" ca="1" si="70"/>
        <v/>
      </c>
      <c r="N61" s="26" t="str">
        <f t="shared" ca="1" si="70"/>
        <v/>
      </c>
      <c r="O61" s="26" t="str">
        <f t="shared" ca="1" si="70"/>
        <v/>
      </c>
      <c r="P61" s="26" t="str">
        <f t="shared" ca="1" si="70"/>
        <v/>
      </c>
      <c r="Q61" s="26" t="str">
        <f t="shared" ca="1" si="70"/>
        <v/>
      </c>
      <c r="R61" s="26" t="str">
        <f t="shared" ca="1" si="70"/>
        <v/>
      </c>
      <c r="S61" s="26" t="str">
        <f t="shared" ca="1" si="70"/>
        <v/>
      </c>
      <c r="T61" s="26" t="str">
        <f t="shared" ca="1" si="70"/>
        <v/>
      </c>
      <c r="U61" s="26" t="str">
        <f t="shared" ca="1" si="70"/>
        <v/>
      </c>
      <c r="V61" s="26" t="str">
        <f t="shared" ca="1" si="70"/>
        <v/>
      </c>
      <c r="W61" s="26" t="str">
        <f t="shared" ca="1" si="70"/>
        <v/>
      </c>
      <c r="X61" s="26" t="str">
        <f t="shared" ca="1" si="70"/>
        <v/>
      </c>
      <c r="Y61" s="26" t="str">
        <f t="shared" ca="1" si="70"/>
        <v/>
      </c>
      <c r="Z61" s="26" t="str">
        <f t="shared" ca="1" si="70"/>
        <v/>
      </c>
      <c r="AA61" s="26" t="str">
        <f t="shared" ca="1" si="70"/>
        <v/>
      </c>
      <c r="AB61" s="26" t="str">
        <f t="shared" ca="1" si="68"/>
        <v/>
      </c>
      <c r="AC61" s="26" t="str">
        <f t="shared" ca="1" si="26"/>
        <v/>
      </c>
      <c r="AD61" s="26" t="str">
        <f t="shared" ca="1" si="26"/>
        <v/>
      </c>
      <c r="AE61" s="26" t="str">
        <f t="shared" ca="1" si="26"/>
        <v/>
      </c>
      <c r="AF61" s="26" t="str">
        <f t="shared" ca="1" si="26"/>
        <v/>
      </c>
      <c r="AG61" s="26" t="str">
        <f t="shared" ca="1" si="26"/>
        <v/>
      </c>
      <c r="AH61" s="26" t="str">
        <f t="shared" ca="1" si="26"/>
        <v/>
      </c>
      <c r="AI61" s="26" t="str">
        <f t="shared" ca="1" si="26"/>
        <v/>
      </c>
      <c r="AJ61" s="26" t="str">
        <f t="shared" ca="1" si="26"/>
        <v/>
      </c>
      <c r="AK61" s="26" t="str">
        <f t="shared" ca="1" si="26"/>
        <v/>
      </c>
      <c r="AL61" s="26" t="str">
        <f t="shared" ca="1" si="26"/>
        <v/>
      </c>
      <c r="AM61" s="26" t="str">
        <f t="shared" ca="1" si="26"/>
        <v/>
      </c>
      <c r="AN61" s="26" t="str">
        <f t="shared" ca="1" si="26"/>
        <v/>
      </c>
      <c r="AO61" s="26" t="str">
        <f t="shared" ca="1" si="67"/>
        <v/>
      </c>
      <c r="AP61" s="26" t="str">
        <f t="shared" ca="1" si="67"/>
        <v/>
      </c>
      <c r="AQ61" s="26" t="str">
        <f t="shared" ca="1" si="67"/>
        <v/>
      </c>
      <c r="AR61" s="26" t="str">
        <f t="shared" ca="1" si="67"/>
        <v/>
      </c>
      <c r="AS61" s="26" t="str">
        <f t="shared" ca="1" si="67"/>
        <v/>
      </c>
      <c r="AT61" s="26" t="str">
        <f t="shared" ca="1" si="67"/>
        <v/>
      </c>
      <c r="AU61" s="26" t="str">
        <f t="shared" ca="1" si="67"/>
        <v/>
      </c>
      <c r="AV61" s="26" t="str">
        <f t="shared" ca="1" si="67"/>
        <v/>
      </c>
      <c r="AW61" s="26" t="str">
        <f t="shared" ca="1" si="67"/>
        <v/>
      </c>
      <c r="AX61" s="26" t="str">
        <f t="shared" ca="1" si="67"/>
        <v/>
      </c>
      <c r="AY61" s="26" t="str">
        <f t="shared" ca="1" si="67"/>
        <v/>
      </c>
      <c r="AZ61" s="26" t="str">
        <f t="shared" ca="1" si="67"/>
        <v/>
      </c>
      <c r="BA61" s="26" t="str">
        <f t="shared" ca="1" si="67"/>
        <v/>
      </c>
      <c r="BB61" s="26" t="str">
        <f t="shared" ca="1" si="67"/>
        <v/>
      </c>
      <c r="BC61" s="26" t="str">
        <f t="shared" ca="1" si="67"/>
        <v/>
      </c>
      <c r="BD61" s="26" t="str">
        <f t="shared" ca="1" si="67"/>
        <v/>
      </c>
      <c r="BE61" s="26" t="str">
        <f t="shared" ca="1" si="28"/>
        <v/>
      </c>
      <c r="BF61" s="26" t="str">
        <f t="shared" ca="1" si="28"/>
        <v/>
      </c>
      <c r="BG61" s="26" t="str">
        <f t="shared" ca="1" si="28"/>
        <v/>
      </c>
      <c r="BH61" s="26" t="str">
        <f t="shared" ca="1" si="28"/>
        <v/>
      </c>
      <c r="BI61" s="26" t="str">
        <f t="shared" ca="1" si="28"/>
        <v/>
      </c>
      <c r="BJ61" s="26" t="str">
        <f t="shared" ca="1" si="28"/>
        <v/>
      </c>
      <c r="BK61" s="26" t="str">
        <f t="shared" ca="1" si="28"/>
        <v/>
      </c>
      <c r="BL61" s="26" t="str">
        <f t="shared" ca="1" si="28"/>
        <v/>
      </c>
    </row>
    <row r="62" spans="1:66" s="1" customFormat="1" ht="40" customHeight="1" x14ac:dyDescent="0.2">
      <c r="A62" s="9"/>
      <c r="B62" s="134" t="s">
        <v>76</v>
      </c>
      <c r="C62" s="57" t="s">
        <v>23</v>
      </c>
      <c r="D62" s="57" t="s">
        <v>36</v>
      </c>
      <c r="E62" s="58">
        <v>1</v>
      </c>
      <c r="F62" s="59">
        <v>45961</v>
      </c>
      <c r="G62" s="60">
        <v>1</v>
      </c>
      <c r="H62" s="57"/>
      <c r="I62" s="26"/>
      <c r="J62" s="26"/>
      <c r="K62" s="123"/>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row>
    <row r="63" spans="1:66" s="1" customFormat="1" ht="40" customHeight="1" x14ac:dyDescent="0.2">
      <c r="A63" s="10"/>
      <c r="B63" s="134" t="s">
        <v>77</v>
      </c>
      <c r="C63" s="57" t="s">
        <v>23</v>
      </c>
      <c r="D63" s="57" t="s">
        <v>54</v>
      </c>
      <c r="E63" s="58">
        <v>1</v>
      </c>
      <c r="F63" s="59">
        <v>45976</v>
      </c>
      <c r="G63" s="60">
        <v>1</v>
      </c>
      <c r="H63" s="57"/>
      <c r="I63" s="26" t="str">
        <f t="shared" ref="I63:M64" ca="1" si="71">IF(AND($C63="Goal",I$7&gt;=$F63,I$7&lt;=$F63+$G63-1),2,IF(AND($C63="Milestone",I$7&gt;=$F63,I$7&lt;=$F63+$G63-1),1,""))</f>
        <v/>
      </c>
      <c r="J63" s="26" t="str">
        <f t="shared" ca="1" si="71"/>
        <v/>
      </c>
      <c r="K63" s="26" t="str">
        <f t="shared" ca="1" si="71"/>
        <v/>
      </c>
      <c r="L63" s="26" t="str">
        <f t="shared" ca="1" si="71"/>
        <v/>
      </c>
      <c r="M63" s="123" t="str">
        <f t="shared" ca="1" si="71"/>
        <v/>
      </c>
      <c r="N63" s="123"/>
      <c r="O63" s="123" t="str">
        <f ca="1">IF(AND($C63="Goal",O$7&gt;=$F63,O$7&lt;=$F63+$G63-1),2,IF(AND($C63="Milestone",O$7&gt;=$F63,O$7&lt;=$F63+$G63-1),1,""))</f>
        <v/>
      </c>
      <c r="P63" s="124" t="str">
        <f>B50</f>
        <v>fixing the homepage</v>
      </c>
      <c r="Q63" s="26" t="str">
        <f t="shared" ref="Q63:BL63" ca="1" si="72">IF(AND($C63="Goal",Q$7&gt;=$F63,Q$7&lt;=$F63+$G63-1),2,IF(AND($C63="Milestone",Q$7&gt;=$F63,Q$7&lt;=$F63+$G63-1),1,""))</f>
        <v/>
      </c>
      <c r="R63" s="26" t="str">
        <f t="shared" ca="1" si="72"/>
        <v/>
      </c>
      <c r="S63" s="26" t="str">
        <f t="shared" ca="1" si="72"/>
        <v/>
      </c>
      <c r="T63" s="26" t="str">
        <f t="shared" ca="1" si="72"/>
        <v/>
      </c>
      <c r="U63" s="26" t="str">
        <f t="shared" ca="1" si="72"/>
        <v/>
      </c>
      <c r="V63" s="26" t="str">
        <f t="shared" ca="1" si="72"/>
        <v/>
      </c>
      <c r="W63" s="26" t="str">
        <f t="shared" ca="1" si="72"/>
        <v/>
      </c>
      <c r="X63" s="26" t="str">
        <f t="shared" ca="1" si="72"/>
        <v/>
      </c>
      <c r="Y63" s="26" t="str">
        <f t="shared" ca="1" si="72"/>
        <v/>
      </c>
      <c r="Z63" s="26" t="str">
        <f t="shared" ca="1" si="72"/>
        <v/>
      </c>
      <c r="AA63" s="26" t="str">
        <f t="shared" ca="1" si="72"/>
        <v/>
      </c>
      <c r="AB63" s="26" t="str">
        <f t="shared" ca="1" si="72"/>
        <v/>
      </c>
      <c r="AC63" s="26" t="str">
        <f t="shared" ca="1" si="72"/>
        <v/>
      </c>
      <c r="AD63" s="26" t="str">
        <f t="shared" ca="1" si="72"/>
        <v/>
      </c>
      <c r="AE63" s="26" t="str">
        <f t="shared" ca="1" si="72"/>
        <v/>
      </c>
      <c r="AF63" s="26" t="str">
        <f t="shared" ca="1" si="72"/>
        <v/>
      </c>
      <c r="AG63" s="26" t="str">
        <f t="shared" ca="1" si="72"/>
        <v/>
      </c>
      <c r="AH63" s="26" t="str">
        <f t="shared" ca="1" si="72"/>
        <v/>
      </c>
      <c r="AI63" s="26" t="str">
        <f t="shared" ca="1" si="72"/>
        <v/>
      </c>
      <c r="AJ63" s="26" t="str">
        <f t="shared" ca="1" si="72"/>
        <v/>
      </c>
      <c r="AK63" s="26" t="str">
        <f t="shared" ca="1" si="72"/>
        <v/>
      </c>
      <c r="AL63" s="26" t="str">
        <f t="shared" ca="1" si="72"/>
        <v/>
      </c>
      <c r="AM63" s="26" t="str">
        <f t="shared" ca="1" si="72"/>
        <v/>
      </c>
      <c r="AN63" s="26" t="str">
        <f t="shared" ca="1" si="72"/>
        <v/>
      </c>
      <c r="AO63" s="26" t="str">
        <f t="shared" ca="1" si="72"/>
        <v/>
      </c>
      <c r="AP63" s="26" t="str">
        <f t="shared" ca="1" si="72"/>
        <v/>
      </c>
      <c r="AQ63" s="26" t="str">
        <f t="shared" ca="1" si="72"/>
        <v/>
      </c>
      <c r="AR63" s="26" t="str">
        <f t="shared" ca="1" si="72"/>
        <v/>
      </c>
      <c r="AS63" s="26" t="str">
        <f t="shared" ca="1" si="72"/>
        <v/>
      </c>
      <c r="AT63" s="26" t="str">
        <f t="shared" ca="1" si="72"/>
        <v/>
      </c>
      <c r="AU63" s="26" t="str">
        <f t="shared" ca="1" si="72"/>
        <v/>
      </c>
      <c r="AV63" s="26" t="str">
        <f t="shared" ca="1" si="72"/>
        <v/>
      </c>
      <c r="AW63" s="26" t="str">
        <f t="shared" ca="1" si="72"/>
        <v/>
      </c>
      <c r="AX63" s="26" t="str">
        <f t="shared" ca="1" si="72"/>
        <v/>
      </c>
      <c r="AY63" s="26" t="str">
        <f t="shared" ca="1" si="72"/>
        <v/>
      </c>
      <c r="AZ63" s="26" t="str">
        <f t="shared" ca="1" si="72"/>
        <v/>
      </c>
      <c r="BA63" s="26" t="str">
        <f t="shared" ca="1" si="72"/>
        <v/>
      </c>
      <c r="BB63" s="26" t="str">
        <f t="shared" ca="1" si="72"/>
        <v/>
      </c>
      <c r="BC63" s="26" t="str">
        <f t="shared" ca="1" si="72"/>
        <v/>
      </c>
      <c r="BD63" s="26" t="str">
        <f t="shared" ca="1" si="72"/>
        <v/>
      </c>
      <c r="BE63" s="26" t="str">
        <f t="shared" ca="1" si="72"/>
        <v/>
      </c>
      <c r="BF63" s="26" t="str">
        <f t="shared" ca="1" si="72"/>
        <v/>
      </c>
      <c r="BG63" s="26" t="str">
        <f t="shared" ca="1" si="72"/>
        <v/>
      </c>
      <c r="BH63" s="26" t="str">
        <f t="shared" ca="1" si="72"/>
        <v/>
      </c>
      <c r="BI63" s="26" t="str">
        <f t="shared" ca="1" si="72"/>
        <v/>
      </c>
      <c r="BJ63" s="26" t="str">
        <f t="shared" ca="1" si="72"/>
        <v/>
      </c>
      <c r="BK63" s="26" t="str">
        <f t="shared" ca="1" si="72"/>
        <v/>
      </c>
      <c r="BL63" s="26" t="str">
        <f t="shared" ca="1" si="72"/>
        <v/>
      </c>
    </row>
    <row r="64" spans="1:66" ht="30" customHeight="1" x14ac:dyDescent="0.2">
      <c r="B64" s="134" t="s">
        <v>78</v>
      </c>
      <c r="C64" s="57" t="s">
        <v>20</v>
      </c>
      <c r="D64" s="57" t="s">
        <v>54</v>
      </c>
      <c r="E64" s="58">
        <v>1</v>
      </c>
      <c r="F64" s="59">
        <v>45976</v>
      </c>
      <c r="G64" s="60">
        <v>1</v>
      </c>
      <c r="H64" s="3"/>
      <c r="I64" s="26" t="str">
        <f t="shared" ca="1" si="71"/>
        <v/>
      </c>
      <c r="J64" s="26" t="str">
        <f t="shared" ca="1" si="71"/>
        <v/>
      </c>
      <c r="K64" s="26" t="str">
        <f t="shared" ca="1" si="71"/>
        <v/>
      </c>
      <c r="L64" s="26" t="str">
        <f t="shared" ca="1" si="71"/>
        <v/>
      </c>
      <c r="M64" s="26" t="str">
        <f t="shared" ca="1" si="71"/>
        <v/>
      </c>
      <c r="N64" s="26" t="str">
        <f ca="1">IF(AND($C64="Goal",N$7&gt;=$F64,N$7&lt;=$F64+$G64-1),2,IF(AND($C64="Milestone",N$7&gt;=$F64,N$7&lt;=$F64+$G64-1),1,""))</f>
        <v/>
      </c>
      <c r="O64" s="26" t="str">
        <f ca="1">IF(AND($C64="Goal",O$7&gt;=$F64,O$7&lt;=$F64+$G64-1),2,IF(AND($C64="Milestone",O$7&gt;=$F64,O$7&lt;=$F64+$G64-1),1,""))</f>
        <v/>
      </c>
      <c r="P64" s="123" t="str">
        <f ca="1">IF(AND($C64="Goal",P$7&gt;=$F64,P$7&lt;=$F64+$G64-1),2,IF(AND($C64="Milestone",P$7&gt;=$F64,P$7&lt;=$F64+$G64-1),1,""))</f>
        <v/>
      </c>
      <c r="Q64" s="123" t="str">
        <f ca="1">IF(AND($C64="Goal",Q$7&gt;=$F64,Q$7&lt;=$F64+$G64-1),2,IF(AND($C64="Milestone",Q$7&gt;=$F64,Q$7&lt;=$F64+$G64-1),1,""))</f>
        <v/>
      </c>
      <c r="R64" s="123" t="str">
        <f t="shared" ref="R64" ca="1" si="73">S64</f>
        <v/>
      </c>
      <c r="S64" s="26" t="str">
        <f t="shared" ref="S64:BL64" ca="1" si="74">IF(AND($C64="Goal",S$7&gt;=$F64,S$7&lt;=$F64+$G64-1),2,IF(AND($C64="Milestone",S$7&gt;=$F64,S$7&lt;=$F64+$G64-1),1,""))</f>
        <v/>
      </c>
      <c r="T64" s="26" t="str">
        <f t="shared" ca="1" si="74"/>
        <v/>
      </c>
      <c r="U64" s="26" t="str">
        <f t="shared" ca="1" si="74"/>
        <v/>
      </c>
      <c r="V64" s="26" t="str">
        <f t="shared" ca="1" si="74"/>
        <v/>
      </c>
      <c r="W64" s="26" t="str">
        <f t="shared" ca="1" si="74"/>
        <v/>
      </c>
      <c r="X64" s="26" t="str">
        <f t="shared" ca="1" si="74"/>
        <v/>
      </c>
      <c r="Y64" s="26" t="str">
        <f t="shared" ca="1" si="74"/>
        <v/>
      </c>
      <c r="Z64" s="26" t="str">
        <f t="shared" ca="1" si="74"/>
        <v/>
      </c>
      <c r="AA64" s="26" t="str">
        <f t="shared" ca="1" si="74"/>
        <v/>
      </c>
      <c r="AB64" s="26" t="str">
        <f t="shared" ca="1" si="74"/>
        <v/>
      </c>
      <c r="AC64" s="26" t="str">
        <f t="shared" ca="1" si="74"/>
        <v/>
      </c>
      <c r="AD64" s="26" t="str">
        <f t="shared" ca="1" si="74"/>
        <v/>
      </c>
      <c r="AE64" s="26" t="str">
        <f t="shared" ca="1" si="74"/>
        <v/>
      </c>
      <c r="AF64" s="26" t="str">
        <f t="shared" ca="1" si="74"/>
        <v/>
      </c>
      <c r="AG64" s="26" t="str">
        <f t="shared" ca="1" si="74"/>
        <v/>
      </c>
      <c r="AH64" s="26" t="str">
        <f t="shared" ca="1" si="74"/>
        <v/>
      </c>
      <c r="AI64" s="26" t="str">
        <f t="shared" ca="1" si="74"/>
        <v/>
      </c>
      <c r="AJ64" s="26" t="str">
        <f t="shared" ca="1" si="74"/>
        <v/>
      </c>
      <c r="AK64" s="26" t="str">
        <f t="shared" ca="1" si="74"/>
        <v/>
      </c>
      <c r="AL64" s="26" t="str">
        <f t="shared" ca="1" si="74"/>
        <v/>
      </c>
      <c r="AM64" s="26" t="str">
        <f t="shared" ca="1" si="74"/>
        <v/>
      </c>
      <c r="AN64" s="26" t="str">
        <f t="shared" ca="1" si="74"/>
        <v/>
      </c>
      <c r="AO64" s="26" t="str">
        <f t="shared" ca="1" si="74"/>
        <v/>
      </c>
      <c r="AP64" s="26" t="str">
        <f t="shared" ca="1" si="74"/>
        <v/>
      </c>
      <c r="AQ64" s="26" t="str">
        <f t="shared" ca="1" si="74"/>
        <v/>
      </c>
      <c r="AR64" s="26" t="str">
        <f t="shared" ca="1" si="74"/>
        <v/>
      </c>
      <c r="AS64" s="26" t="str">
        <f t="shared" ca="1" si="74"/>
        <v/>
      </c>
      <c r="AT64" s="26" t="str">
        <f t="shared" ca="1" si="74"/>
        <v/>
      </c>
      <c r="AU64" s="26" t="str">
        <f t="shared" ca="1" si="74"/>
        <v/>
      </c>
      <c r="AV64" s="26" t="str">
        <f t="shared" ca="1" si="74"/>
        <v/>
      </c>
      <c r="AW64" s="26" t="str">
        <f t="shared" ca="1" si="74"/>
        <v/>
      </c>
      <c r="AX64" s="26" t="str">
        <f t="shared" ca="1" si="74"/>
        <v/>
      </c>
      <c r="AY64" s="26" t="str">
        <f t="shared" ca="1" si="74"/>
        <v/>
      </c>
      <c r="AZ64" s="26" t="str">
        <f t="shared" ca="1" si="74"/>
        <v/>
      </c>
      <c r="BA64" s="26" t="str">
        <f t="shared" ca="1" si="74"/>
        <v/>
      </c>
      <c r="BB64" s="26" t="str">
        <f t="shared" ca="1" si="74"/>
        <v/>
      </c>
      <c r="BC64" s="26" t="str">
        <f t="shared" ca="1" si="74"/>
        <v/>
      </c>
      <c r="BD64" s="26" t="str">
        <f t="shared" ca="1" si="74"/>
        <v/>
      </c>
      <c r="BE64" s="26" t="str">
        <f t="shared" ca="1" si="74"/>
        <v/>
      </c>
      <c r="BF64" s="26" t="str">
        <f t="shared" ca="1" si="74"/>
        <v/>
      </c>
      <c r="BG64" s="26" t="str">
        <f t="shared" ca="1" si="74"/>
        <v/>
      </c>
      <c r="BH64" s="26" t="str">
        <f t="shared" ca="1" si="74"/>
        <v/>
      </c>
      <c r="BI64" s="26" t="str">
        <f t="shared" ca="1" si="74"/>
        <v/>
      </c>
      <c r="BJ64" s="26" t="str">
        <f t="shared" ca="1" si="74"/>
        <v/>
      </c>
      <c r="BK64" s="26" t="str">
        <f t="shared" ca="1" si="74"/>
        <v/>
      </c>
      <c r="BL64" s="26" t="str">
        <f t="shared" ca="1" si="74"/>
        <v/>
      </c>
      <c r="BM64" s="1"/>
      <c r="BN64" s="1"/>
    </row>
    <row r="65" spans="2:65" ht="30" customHeight="1" x14ac:dyDescent="0.2">
      <c r="B65" s="134" t="s">
        <v>79</v>
      </c>
      <c r="C65" s="57" t="s">
        <v>23</v>
      </c>
      <c r="D65" s="57" t="s">
        <v>54</v>
      </c>
      <c r="E65" s="58">
        <v>1</v>
      </c>
      <c r="F65" s="59">
        <v>45976</v>
      </c>
      <c r="G65" s="60">
        <v>1</v>
      </c>
      <c r="I65" s="26"/>
      <c r="J65" s="26"/>
      <c r="K65" s="26"/>
      <c r="L65" s="26"/>
      <c r="M65" s="26"/>
      <c r="N65" s="26"/>
      <c r="O65" s="26"/>
      <c r="P65" s="123"/>
      <c r="Q65" s="123"/>
      <c r="R65" s="123"/>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1"/>
    </row>
    <row r="66" spans="2:65" ht="30" customHeight="1" x14ac:dyDescent="0.2">
      <c r="B66" s="134" t="s">
        <v>80</v>
      </c>
      <c r="C66" s="57" t="s">
        <v>20</v>
      </c>
      <c r="D66" s="57" t="s">
        <v>54</v>
      </c>
      <c r="E66" s="58">
        <v>1</v>
      </c>
      <c r="F66" s="59">
        <v>45976</v>
      </c>
      <c r="G66" s="60">
        <v>1</v>
      </c>
      <c r="I66" s="26" t="str">
        <f t="shared" ref="I66:AN66" ca="1" si="75">IF(AND($C66="Goal",I$7&gt;=$F66,I$7&lt;=$F66+$G66-1),2,IF(AND($C66="Milestone",I$7&gt;=$F66,I$7&lt;=$F66+$G66-1),1,""))</f>
        <v/>
      </c>
      <c r="J66" s="26" t="str">
        <f t="shared" ca="1" si="75"/>
        <v/>
      </c>
      <c r="K66" s="26" t="str">
        <f t="shared" ca="1" si="75"/>
        <v/>
      </c>
      <c r="L66" s="26" t="str">
        <f t="shared" ca="1" si="75"/>
        <v/>
      </c>
      <c r="M66" s="26" t="str">
        <f t="shared" ca="1" si="75"/>
        <v/>
      </c>
      <c r="N66" s="26" t="str">
        <f t="shared" ca="1" si="75"/>
        <v/>
      </c>
      <c r="O66" s="26" t="str">
        <f t="shared" ca="1" si="75"/>
        <v/>
      </c>
      <c r="P66" s="26" t="str">
        <f t="shared" ca="1" si="75"/>
        <v/>
      </c>
      <c r="Q66" s="26" t="str">
        <f t="shared" ca="1" si="75"/>
        <v/>
      </c>
      <c r="R66" s="123" t="str">
        <f t="shared" ca="1" si="75"/>
        <v/>
      </c>
      <c r="S66" s="123" t="str">
        <f t="shared" ca="1" si="75"/>
        <v/>
      </c>
      <c r="T66" s="123" t="str">
        <f t="shared" ca="1" si="75"/>
        <v/>
      </c>
      <c r="U66" s="26" t="str">
        <f t="shared" ca="1" si="75"/>
        <v/>
      </c>
      <c r="V66" s="26" t="str">
        <f t="shared" ca="1" si="75"/>
        <v/>
      </c>
      <c r="W66" s="26" t="str">
        <f t="shared" ca="1" si="75"/>
        <v/>
      </c>
      <c r="X66" s="26" t="str">
        <f t="shared" ca="1" si="75"/>
        <v/>
      </c>
      <c r="Y66" s="26" t="str">
        <f t="shared" ca="1" si="75"/>
        <v/>
      </c>
      <c r="Z66" s="26" t="str">
        <f t="shared" ca="1" si="75"/>
        <v/>
      </c>
      <c r="AA66" s="26" t="str">
        <f t="shared" ca="1" si="75"/>
        <v/>
      </c>
      <c r="AB66" s="26" t="str">
        <f t="shared" ca="1" si="75"/>
        <v/>
      </c>
      <c r="AC66" s="26" t="str">
        <f t="shared" ca="1" si="75"/>
        <v/>
      </c>
      <c r="AD66" s="26" t="str">
        <f t="shared" ca="1" si="75"/>
        <v/>
      </c>
      <c r="AE66" s="26" t="str">
        <f t="shared" ca="1" si="75"/>
        <v/>
      </c>
      <c r="AF66" s="26" t="str">
        <f t="shared" ca="1" si="75"/>
        <v/>
      </c>
      <c r="AG66" s="26" t="str">
        <f t="shared" ca="1" si="75"/>
        <v/>
      </c>
      <c r="AH66" s="26" t="str">
        <f t="shared" ca="1" si="75"/>
        <v/>
      </c>
      <c r="AI66" s="26" t="str">
        <f t="shared" ca="1" si="75"/>
        <v/>
      </c>
      <c r="AJ66" s="26" t="str">
        <f t="shared" ca="1" si="75"/>
        <v/>
      </c>
      <c r="AK66" s="26" t="str">
        <f t="shared" ca="1" si="75"/>
        <v/>
      </c>
      <c r="AL66" s="26" t="str">
        <f t="shared" ca="1" si="75"/>
        <v/>
      </c>
      <c r="AM66" s="26" t="str">
        <f t="shared" ca="1" si="75"/>
        <v/>
      </c>
      <c r="AN66" s="26" t="str">
        <f t="shared" ca="1" si="75"/>
        <v/>
      </c>
      <c r="AO66" s="26" t="str">
        <f t="shared" ref="AO66:BL66" ca="1" si="76">IF(AND($C66="Goal",AO$7&gt;=$F66,AO$7&lt;=$F66+$G66-1),2,IF(AND($C66="Milestone",AO$7&gt;=$F66,AO$7&lt;=$F66+$G66-1),1,""))</f>
        <v/>
      </c>
      <c r="AP66" s="26" t="str">
        <f t="shared" ca="1" si="76"/>
        <v/>
      </c>
      <c r="AQ66" s="26" t="str">
        <f t="shared" ca="1" si="76"/>
        <v/>
      </c>
      <c r="AR66" s="26" t="str">
        <f t="shared" ca="1" si="76"/>
        <v/>
      </c>
      <c r="AS66" s="26" t="str">
        <f t="shared" ca="1" si="76"/>
        <v/>
      </c>
      <c r="AT66" s="26" t="str">
        <f t="shared" ca="1" si="76"/>
        <v/>
      </c>
      <c r="AU66" s="26" t="str">
        <f t="shared" ca="1" si="76"/>
        <v/>
      </c>
      <c r="AV66" s="26" t="str">
        <f t="shared" ca="1" si="76"/>
        <v/>
      </c>
      <c r="AW66" s="26" t="str">
        <f t="shared" ca="1" si="76"/>
        <v/>
      </c>
      <c r="AX66" s="26" t="str">
        <f t="shared" ca="1" si="76"/>
        <v/>
      </c>
      <c r="AY66" s="26" t="str">
        <f t="shared" ca="1" si="76"/>
        <v/>
      </c>
      <c r="AZ66" s="26" t="str">
        <f t="shared" ca="1" si="76"/>
        <v/>
      </c>
      <c r="BA66" s="26" t="str">
        <f t="shared" ca="1" si="76"/>
        <v/>
      </c>
      <c r="BB66" s="26" t="str">
        <f t="shared" ca="1" si="76"/>
        <v/>
      </c>
      <c r="BC66" s="26" t="str">
        <f t="shared" ca="1" si="76"/>
        <v/>
      </c>
      <c r="BD66" s="26" t="str">
        <f t="shared" ca="1" si="76"/>
        <v/>
      </c>
      <c r="BE66" s="26" t="str">
        <f t="shared" ca="1" si="76"/>
        <v/>
      </c>
      <c r="BF66" s="26" t="str">
        <f t="shared" ca="1" si="76"/>
        <v/>
      </c>
      <c r="BG66" s="26" t="str">
        <f t="shared" ca="1" si="76"/>
        <v/>
      </c>
      <c r="BH66" s="26" t="str">
        <f t="shared" ca="1" si="76"/>
        <v/>
      </c>
      <c r="BI66" s="26" t="str">
        <f t="shared" ca="1" si="76"/>
        <v/>
      </c>
      <c r="BJ66" s="26" t="str">
        <f t="shared" ca="1" si="76"/>
        <v/>
      </c>
      <c r="BK66" s="26" t="str">
        <f t="shared" ca="1" si="76"/>
        <v/>
      </c>
      <c r="BL66" s="26" t="str">
        <f t="shared" ca="1" si="76"/>
        <v/>
      </c>
      <c r="BM66" s="1"/>
    </row>
    <row r="67" spans="2:65" ht="30" customHeight="1" x14ac:dyDescent="0.2">
      <c r="B67" s="132" t="s">
        <v>81</v>
      </c>
      <c r="C67" s="57" t="s">
        <v>23</v>
      </c>
      <c r="D67" s="57" t="s">
        <v>54</v>
      </c>
      <c r="E67" s="58">
        <v>1</v>
      </c>
      <c r="F67" s="59">
        <v>45976</v>
      </c>
      <c r="G67" s="60">
        <v>1</v>
      </c>
      <c r="I67" s="26" t="str">
        <f t="shared" ref="I67:X73" ca="1" si="77">IF(AND($C67="Goal",I$7&gt;=$F67,I$7&lt;=$F67+$G67-1),2,IF(AND($C67="Milestone",I$7&gt;=$F67,I$7&lt;=$F67+$G67-1),1,""))</f>
        <v/>
      </c>
      <c r="J67" s="26" t="str">
        <f t="shared" ca="1" si="77"/>
        <v/>
      </c>
      <c r="K67" s="26" t="str">
        <f t="shared" ca="1" si="77"/>
        <v/>
      </c>
      <c r="L67" s="26" t="str">
        <f t="shared" ca="1" si="77"/>
        <v/>
      </c>
      <c r="M67" s="26" t="str">
        <f t="shared" ca="1" si="77"/>
        <v/>
      </c>
      <c r="N67" s="26" t="str">
        <f t="shared" ca="1" si="77"/>
        <v/>
      </c>
      <c r="O67" s="26" t="str">
        <f t="shared" ca="1" si="77"/>
        <v/>
      </c>
      <c r="P67" s="26" t="str">
        <f t="shared" ca="1" si="77"/>
        <v/>
      </c>
      <c r="Q67" s="26" t="str">
        <f t="shared" ca="1" si="77"/>
        <v/>
      </c>
      <c r="R67" s="26" t="str">
        <f t="shared" ca="1" si="77"/>
        <v/>
      </c>
      <c r="S67" s="26" t="str">
        <f t="shared" ca="1" si="77"/>
        <v/>
      </c>
      <c r="T67" s="26" t="str">
        <f t="shared" ca="1" si="77"/>
        <v/>
      </c>
      <c r="U67" s="26" t="str">
        <f t="shared" ca="1" si="77"/>
        <v/>
      </c>
      <c r="V67" s="26" t="str">
        <f t="shared" ca="1" si="77"/>
        <v/>
      </c>
      <c r="W67" s="26" t="str">
        <f t="shared" ca="1" si="77"/>
        <v/>
      </c>
      <c r="X67" s="26" t="str">
        <f t="shared" ca="1" si="77"/>
        <v/>
      </c>
      <c r="Y67" s="26" t="str">
        <f t="shared" ca="1" si="66"/>
        <v/>
      </c>
      <c r="Z67" s="26" t="str">
        <f t="shared" ca="1" si="66"/>
        <v/>
      </c>
      <c r="AA67" s="26" t="str">
        <f t="shared" ca="1" si="66"/>
        <v/>
      </c>
      <c r="AB67" s="26" t="str">
        <f t="shared" ca="1" si="66"/>
        <v/>
      </c>
      <c r="AC67" s="26" t="str">
        <f t="shared" ca="1" si="66"/>
        <v/>
      </c>
      <c r="AD67" s="26" t="str">
        <f t="shared" ca="1" si="66"/>
        <v/>
      </c>
      <c r="AE67" s="26" t="str">
        <f t="shared" ca="1" si="66"/>
        <v/>
      </c>
      <c r="AF67" s="26" t="str">
        <f t="shared" ca="1" si="66"/>
        <v/>
      </c>
      <c r="AG67" s="26" t="str">
        <f t="shared" ca="1" si="66"/>
        <v/>
      </c>
      <c r="AH67" s="26" t="str">
        <f t="shared" ca="1" si="66"/>
        <v/>
      </c>
      <c r="AI67" s="26" t="str">
        <f t="shared" ca="1" si="26"/>
        <v/>
      </c>
      <c r="AJ67" s="26" t="str">
        <f t="shared" ca="1" si="26"/>
        <v/>
      </c>
      <c r="AK67" s="26" t="str">
        <f t="shared" ca="1" si="26"/>
        <v/>
      </c>
      <c r="AL67" s="26" t="str">
        <f t="shared" ca="1" si="26"/>
        <v/>
      </c>
      <c r="AM67" s="26" t="str">
        <f t="shared" ca="1" si="26"/>
        <v/>
      </c>
      <c r="AN67" s="26" t="str">
        <f t="shared" ca="1" si="26"/>
        <v/>
      </c>
      <c r="AO67" s="26" t="str">
        <f t="shared" ref="AO67:BD68" ca="1" si="78">IF(AND($C67="Goal",AO$7&gt;=$F67,AO$7&lt;=$F67+$G67-1),2,IF(AND($C67="Milestone",AO$7&gt;=$F67,AO$7&lt;=$F67+$G67-1),1,""))</f>
        <v/>
      </c>
      <c r="AP67" s="26" t="str">
        <f t="shared" ca="1" si="78"/>
        <v/>
      </c>
      <c r="AQ67" s="26" t="str">
        <f t="shared" ca="1" si="78"/>
        <v/>
      </c>
      <c r="AR67" s="26" t="str">
        <f t="shared" ca="1" si="78"/>
        <v/>
      </c>
      <c r="AS67" s="26" t="str">
        <f t="shared" ca="1" si="78"/>
        <v/>
      </c>
      <c r="AT67" s="26" t="str">
        <f t="shared" ca="1" si="78"/>
        <v/>
      </c>
      <c r="AU67" s="26" t="str">
        <f t="shared" ca="1" si="78"/>
        <v/>
      </c>
      <c r="AV67" s="26" t="str">
        <f t="shared" ca="1" si="78"/>
        <v/>
      </c>
      <c r="AW67" s="26" t="str">
        <f t="shared" ca="1" si="78"/>
        <v/>
      </c>
      <c r="AX67" s="26" t="str">
        <f t="shared" ca="1" si="78"/>
        <v/>
      </c>
      <c r="AY67" s="26" t="str">
        <f t="shared" ca="1" si="78"/>
        <v/>
      </c>
      <c r="AZ67" s="26" t="str">
        <f t="shared" ca="1" si="78"/>
        <v/>
      </c>
      <c r="BA67" s="26" t="str">
        <f t="shared" ca="1" si="78"/>
        <v/>
      </c>
      <c r="BB67" s="26" t="str">
        <f t="shared" ca="1" si="78"/>
        <v/>
      </c>
      <c r="BC67" s="26" t="str">
        <f t="shared" ca="1" si="78"/>
        <v/>
      </c>
      <c r="BD67" s="26" t="str">
        <f t="shared" ca="1" si="78"/>
        <v/>
      </c>
      <c r="BE67" s="26" t="str">
        <f t="shared" ca="1" si="28"/>
        <v/>
      </c>
      <c r="BF67" s="26" t="str">
        <f t="shared" ca="1" si="28"/>
        <v/>
      </c>
      <c r="BG67" s="26" t="str">
        <f t="shared" ca="1" si="28"/>
        <v/>
      </c>
      <c r="BH67" s="26" t="str">
        <f t="shared" ca="1" si="28"/>
        <v/>
      </c>
      <c r="BI67" s="26" t="str">
        <f t="shared" ca="1" si="28"/>
        <v/>
      </c>
      <c r="BJ67" s="26" t="str">
        <f t="shared" ca="1" si="28"/>
        <v/>
      </c>
      <c r="BK67" s="26" t="str">
        <f t="shared" ca="1" si="28"/>
        <v/>
      </c>
      <c r="BL67" s="26" t="str">
        <f t="shared" ca="1" si="28"/>
        <v/>
      </c>
      <c r="BM67" s="1"/>
    </row>
    <row r="68" spans="2:65" ht="30" customHeight="1" x14ac:dyDescent="0.2">
      <c r="B68" s="134" t="s">
        <v>82</v>
      </c>
      <c r="C68" s="57" t="s">
        <v>23</v>
      </c>
      <c r="D68" s="57" t="s">
        <v>36</v>
      </c>
      <c r="E68" s="58">
        <v>1</v>
      </c>
      <c r="F68" s="59">
        <v>45976</v>
      </c>
      <c r="G68" s="60">
        <v>3</v>
      </c>
      <c r="I68" s="26" t="str">
        <f t="shared" ca="1" si="77"/>
        <v/>
      </c>
      <c r="J68" s="26" t="str">
        <f t="shared" ca="1" si="77"/>
        <v/>
      </c>
      <c r="K68" s="123"/>
      <c r="L68" s="26" t="str">
        <f t="shared" ca="1" si="77"/>
        <v/>
      </c>
      <c r="M68" s="26" t="str">
        <f t="shared" ca="1" si="77"/>
        <v/>
      </c>
      <c r="N68" s="26" t="str">
        <f t="shared" ca="1" si="77"/>
        <v/>
      </c>
      <c r="O68" s="26" t="str">
        <f t="shared" ca="1" si="77"/>
        <v/>
      </c>
      <c r="P68" s="26" t="str">
        <f t="shared" ca="1" si="77"/>
        <v/>
      </c>
      <c r="Q68" s="26" t="str">
        <f t="shared" ca="1" si="77"/>
        <v/>
      </c>
      <c r="R68" s="26" t="str">
        <f t="shared" ca="1" si="77"/>
        <v/>
      </c>
      <c r="S68" s="26" t="str">
        <f t="shared" ca="1" si="77"/>
        <v/>
      </c>
      <c r="T68" s="26" t="str">
        <f t="shared" ca="1" si="77"/>
        <v/>
      </c>
      <c r="U68" s="26" t="str">
        <f t="shared" ca="1" si="77"/>
        <v/>
      </c>
      <c r="V68" s="26" t="str">
        <f t="shared" ca="1" si="77"/>
        <v/>
      </c>
      <c r="W68" s="26" t="str">
        <f t="shared" ca="1" si="77"/>
        <v/>
      </c>
      <c r="X68" s="26" t="str">
        <f t="shared" ca="1" si="77"/>
        <v/>
      </c>
      <c r="Y68" s="26" t="str">
        <f t="shared" ca="1" si="66"/>
        <v/>
      </c>
      <c r="Z68" s="26" t="str">
        <f t="shared" ca="1" si="66"/>
        <v/>
      </c>
      <c r="AA68" s="26" t="str">
        <f t="shared" ca="1" si="66"/>
        <v/>
      </c>
      <c r="AB68" s="26" t="str">
        <f t="shared" ca="1" si="66"/>
        <v/>
      </c>
      <c r="AC68" s="26" t="str">
        <f t="shared" ca="1" si="66"/>
        <v/>
      </c>
      <c r="AD68" s="26" t="str">
        <f t="shared" ca="1" si="66"/>
        <v/>
      </c>
      <c r="AE68" s="26" t="str">
        <f t="shared" ca="1" si="66"/>
        <v/>
      </c>
      <c r="AF68" s="26" t="str">
        <f t="shared" ca="1" si="66"/>
        <v/>
      </c>
      <c r="AG68" s="26" t="str">
        <f t="shared" ca="1" si="66"/>
        <v/>
      </c>
      <c r="AH68" s="26" t="str">
        <f t="shared" ca="1" si="66"/>
        <v/>
      </c>
      <c r="AI68" s="26" t="str">
        <f t="shared" ca="1" si="26"/>
        <v/>
      </c>
      <c r="AJ68" s="26" t="str">
        <f t="shared" ca="1" si="26"/>
        <v/>
      </c>
      <c r="AK68" s="26" t="str">
        <f t="shared" ca="1" si="26"/>
        <v/>
      </c>
      <c r="AL68" s="26" t="str">
        <f t="shared" ca="1" si="26"/>
        <v/>
      </c>
      <c r="AM68" s="26" t="str">
        <f t="shared" ca="1" si="26"/>
        <v/>
      </c>
      <c r="AN68" s="26" t="str">
        <f t="shared" ca="1" si="26"/>
        <v/>
      </c>
      <c r="AO68" s="26" t="str">
        <f t="shared" ca="1" si="78"/>
        <v/>
      </c>
      <c r="AP68" s="26" t="str">
        <f t="shared" ca="1" si="78"/>
        <v/>
      </c>
      <c r="AQ68" s="26" t="str">
        <f t="shared" ca="1" si="78"/>
        <v/>
      </c>
      <c r="AR68" s="26" t="str">
        <f t="shared" ca="1" si="78"/>
        <v/>
      </c>
      <c r="AS68" s="26" t="str">
        <f t="shared" ca="1" si="78"/>
        <v/>
      </c>
      <c r="AT68" s="26" t="str">
        <f t="shared" ca="1" si="78"/>
        <v/>
      </c>
      <c r="AU68" s="26" t="str">
        <f t="shared" ca="1" si="78"/>
        <v/>
      </c>
      <c r="AV68" s="26" t="str">
        <f t="shared" ca="1" si="78"/>
        <v/>
      </c>
      <c r="AW68" s="26" t="str">
        <f t="shared" ca="1" si="78"/>
        <v/>
      </c>
      <c r="AX68" s="26" t="str">
        <f t="shared" ca="1" si="78"/>
        <v/>
      </c>
      <c r="AY68" s="26" t="str">
        <f t="shared" ca="1" si="78"/>
        <v/>
      </c>
      <c r="AZ68" s="26" t="str">
        <f t="shared" ca="1" si="78"/>
        <v/>
      </c>
      <c r="BA68" s="26" t="str">
        <f t="shared" ca="1" si="78"/>
        <v/>
      </c>
      <c r="BB68" s="26" t="str">
        <f t="shared" ca="1" si="78"/>
        <v/>
      </c>
      <c r="BC68" s="26" t="str">
        <f t="shared" ca="1" si="78"/>
        <v/>
      </c>
      <c r="BD68" s="26" t="str">
        <f t="shared" ca="1" si="78"/>
        <v/>
      </c>
      <c r="BE68" s="26" t="str">
        <f t="shared" ca="1" si="28"/>
        <v/>
      </c>
      <c r="BF68" s="26" t="str">
        <f t="shared" ca="1" si="28"/>
        <v/>
      </c>
      <c r="BG68" s="26" t="str">
        <f t="shared" ca="1" si="28"/>
        <v/>
      </c>
      <c r="BH68" s="26" t="str">
        <f t="shared" ca="1" si="28"/>
        <v/>
      </c>
      <c r="BI68" s="26" t="str">
        <f t="shared" ca="1" si="28"/>
        <v/>
      </c>
      <c r="BJ68" s="26" t="str">
        <f t="shared" ca="1" si="28"/>
        <v/>
      </c>
      <c r="BK68" s="26" t="str">
        <f t="shared" ca="1" si="28"/>
        <v/>
      </c>
      <c r="BL68" s="26" t="str">
        <f t="shared" ca="1" si="28"/>
        <v/>
      </c>
      <c r="BM68" s="1"/>
    </row>
    <row r="69" spans="2:65" ht="30" customHeight="1" x14ac:dyDescent="0.2">
      <c r="B69" s="134" t="s">
        <v>83</v>
      </c>
      <c r="C69" s="57" t="s">
        <v>20</v>
      </c>
      <c r="D69" s="57" t="s">
        <v>36</v>
      </c>
      <c r="E69" s="58">
        <v>1</v>
      </c>
      <c r="F69" s="59">
        <v>45976</v>
      </c>
      <c r="G69" s="60">
        <v>3</v>
      </c>
      <c r="I69" s="26"/>
      <c r="J69" s="26"/>
      <c r="K69" s="123"/>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1"/>
    </row>
    <row r="70" spans="2:65" ht="30" customHeight="1" x14ac:dyDescent="0.2">
      <c r="B70" s="134" t="s">
        <v>84</v>
      </c>
      <c r="C70" s="57" t="s">
        <v>20</v>
      </c>
      <c r="D70" s="57" t="s">
        <v>54</v>
      </c>
      <c r="E70" s="58">
        <v>1</v>
      </c>
      <c r="F70" s="59">
        <v>45976</v>
      </c>
      <c r="G70" s="60">
        <v>2</v>
      </c>
      <c r="I70" s="26" t="str">
        <f t="shared" ca="1" si="18"/>
        <v/>
      </c>
      <c r="J70" s="26" t="str">
        <f t="shared" ca="1" si="18"/>
        <v/>
      </c>
      <c r="K70" s="26" t="str">
        <f t="shared" ca="1" si="18"/>
        <v/>
      </c>
      <c r="L70" s="26" t="str">
        <f t="shared" ca="1" si="18"/>
        <v/>
      </c>
      <c r="M70" s="123" t="str">
        <f t="shared" ca="1" si="18"/>
        <v/>
      </c>
      <c r="N70" s="123"/>
      <c r="O70" s="123" t="str">
        <f t="shared" ref="O70:P71" ca="1" si="79">IF(AND($C70="Goal",O$7&gt;=$F70,O$7&lt;=$F70+$G70-1),2,IF(AND($C70="Milestone",O$7&gt;=$F70,O$7&lt;=$F70+$G70-1),1,""))</f>
        <v/>
      </c>
      <c r="P70" s="124" t="str">
        <f t="shared" ref="P70" si="80">B57</f>
        <v>add validation to deleting recipes</v>
      </c>
      <c r="Q70" s="26" t="str">
        <f t="shared" ref="Q70:AF71" ca="1" si="81">IF(AND($C70="Goal",Q$7&gt;=$F70,Q$7&lt;=$F70+$G70-1),2,IF(AND($C70="Milestone",Q$7&gt;=$F70,Q$7&lt;=$F70+$G70-1),1,""))</f>
        <v/>
      </c>
      <c r="R70" s="26" t="str">
        <f t="shared" ca="1" si="81"/>
        <v/>
      </c>
      <c r="S70" s="26" t="str">
        <f t="shared" ca="1" si="81"/>
        <v/>
      </c>
      <c r="T70" s="26" t="str">
        <f t="shared" ca="1" si="81"/>
        <v/>
      </c>
      <c r="U70" s="26" t="str">
        <f t="shared" ca="1" si="81"/>
        <v/>
      </c>
      <c r="V70" s="26" t="str">
        <f t="shared" ca="1" si="81"/>
        <v/>
      </c>
      <c r="W70" s="26" t="str">
        <f t="shared" ca="1" si="81"/>
        <v/>
      </c>
      <c r="X70" s="26" t="str">
        <f t="shared" ca="1" si="81"/>
        <v/>
      </c>
      <c r="Y70" s="26" t="str">
        <f t="shared" ca="1" si="81"/>
        <v/>
      </c>
      <c r="Z70" s="26" t="str">
        <f t="shared" ca="1" si="81"/>
        <v/>
      </c>
      <c r="AA70" s="26" t="str">
        <f t="shared" ca="1" si="81"/>
        <v/>
      </c>
      <c r="AB70" s="26" t="str">
        <f t="shared" ca="1" si="81"/>
        <v/>
      </c>
      <c r="AC70" s="26" t="str">
        <f t="shared" ca="1" si="81"/>
        <v/>
      </c>
      <c r="AD70" s="26" t="str">
        <f t="shared" ca="1" si="81"/>
        <v/>
      </c>
      <c r="AE70" s="26" t="str">
        <f t="shared" ca="1" si="81"/>
        <v/>
      </c>
      <c r="AF70" s="26" t="str">
        <f t="shared" ca="1" si="81"/>
        <v/>
      </c>
      <c r="AG70" s="26" t="str">
        <f t="shared" ref="AG70:AV71" ca="1" si="82">IF(AND($C70="Goal",AG$7&gt;=$F70,AG$7&lt;=$F70+$G70-1),2,IF(AND($C70="Milestone",AG$7&gt;=$F70,AG$7&lt;=$F70+$G70-1),1,""))</f>
        <v/>
      </c>
      <c r="AH70" s="26" t="str">
        <f t="shared" ca="1" si="82"/>
        <v/>
      </c>
      <c r="AI70" s="26" t="str">
        <f t="shared" ca="1" si="82"/>
        <v/>
      </c>
      <c r="AJ70" s="26" t="str">
        <f t="shared" ca="1" si="82"/>
        <v/>
      </c>
      <c r="AK70" s="26" t="str">
        <f t="shared" ca="1" si="82"/>
        <v/>
      </c>
      <c r="AL70" s="26" t="str">
        <f t="shared" ca="1" si="82"/>
        <v/>
      </c>
      <c r="AM70" s="26" t="str">
        <f t="shared" ca="1" si="82"/>
        <v/>
      </c>
      <c r="AN70" s="26" t="str">
        <f t="shared" ca="1" si="82"/>
        <v/>
      </c>
      <c r="AO70" s="26" t="str">
        <f t="shared" ca="1" si="82"/>
        <v/>
      </c>
      <c r="AP70" s="26" t="str">
        <f t="shared" ca="1" si="82"/>
        <v/>
      </c>
      <c r="AQ70" s="26" t="str">
        <f t="shared" ca="1" si="82"/>
        <v/>
      </c>
      <c r="AR70" s="26" t="str">
        <f t="shared" ca="1" si="82"/>
        <v/>
      </c>
      <c r="AS70" s="26" t="str">
        <f t="shared" ca="1" si="82"/>
        <v/>
      </c>
      <c r="AT70" s="26" t="str">
        <f t="shared" ca="1" si="82"/>
        <v/>
      </c>
      <c r="AU70" s="26" t="str">
        <f t="shared" ca="1" si="82"/>
        <v/>
      </c>
      <c r="AV70" s="26" t="str">
        <f t="shared" ca="1" si="82"/>
        <v/>
      </c>
      <c r="AW70" s="26" t="str">
        <f t="shared" ref="AW70:BL71" ca="1" si="83">IF(AND($C70="Goal",AW$7&gt;=$F70,AW$7&lt;=$F70+$G70-1),2,IF(AND($C70="Milestone",AW$7&gt;=$F70,AW$7&lt;=$F70+$G70-1),1,""))</f>
        <v/>
      </c>
      <c r="AX70" s="26" t="str">
        <f t="shared" ca="1" si="83"/>
        <v/>
      </c>
      <c r="AY70" s="26" t="str">
        <f t="shared" ca="1" si="83"/>
        <v/>
      </c>
      <c r="AZ70" s="26" t="str">
        <f t="shared" ca="1" si="83"/>
        <v/>
      </c>
      <c r="BA70" s="26" t="str">
        <f t="shared" ca="1" si="83"/>
        <v/>
      </c>
      <c r="BB70" s="26" t="str">
        <f t="shared" ca="1" si="83"/>
        <v/>
      </c>
      <c r="BC70" s="26" t="str">
        <f t="shared" ca="1" si="83"/>
        <v/>
      </c>
      <c r="BD70" s="26" t="str">
        <f t="shared" ca="1" si="83"/>
        <v/>
      </c>
      <c r="BE70" s="26" t="str">
        <f t="shared" ca="1" si="83"/>
        <v/>
      </c>
      <c r="BF70" s="26" t="str">
        <f t="shared" ca="1" si="83"/>
        <v/>
      </c>
      <c r="BG70" s="26" t="str">
        <f t="shared" ca="1" si="83"/>
        <v/>
      </c>
      <c r="BH70" s="26" t="str">
        <f t="shared" ca="1" si="83"/>
        <v/>
      </c>
      <c r="BI70" s="26" t="str">
        <f t="shared" ca="1" si="83"/>
        <v/>
      </c>
      <c r="BJ70" s="26" t="str">
        <f t="shared" ca="1" si="83"/>
        <v/>
      </c>
      <c r="BK70" s="26" t="str">
        <f t="shared" ca="1" si="83"/>
        <v/>
      </c>
      <c r="BL70" s="26" t="str">
        <f t="shared" ca="1" si="83"/>
        <v/>
      </c>
      <c r="BM70" s="1"/>
    </row>
    <row r="71" spans="2:65" ht="30" customHeight="1" x14ac:dyDescent="0.2">
      <c r="B71" s="134" t="s">
        <v>85</v>
      </c>
      <c r="C71" s="57" t="s">
        <v>20</v>
      </c>
      <c r="D71" s="57" t="s">
        <v>54</v>
      </c>
      <c r="E71" s="58">
        <v>1</v>
      </c>
      <c r="F71" s="59">
        <v>45976</v>
      </c>
      <c r="G71" s="60">
        <v>2</v>
      </c>
      <c r="I71" s="26" t="str">
        <f t="shared" ca="1" si="18"/>
        <v/>
      </c>
      <c r="J71" s="26" t="str">
        <f t="shared" ca="1" si="18"/>
        <v/>
      </c>
      <c r="K71" s="26" t="str">
        <f t="shared" ca="1" si="18"/>
        <v/>
      </c>
      <c r="L71" s="26" t="str">
        <f t="shared" ca="1" si="18"/>
        <v/>
      </c>
      <c r="M71" s="26" t="str">
        <f t="shared" ca="1" si="18"/>
        <v/>
      </c>
      <c r="N71" s="26" t="str">
        <f t="shared" ca="1" si="18"/>
        <v/>
      </c>
      <c r="O71" s="26" t="str">
        <f t="shared" ca="1" si="79"/>
        <v/>
      </c>
      <c r="P71" s="123" t="str">
        <f t="shared" ca="1" si="79"/>
        <v/>
      </c>
      <c r="Q71" s="123" t="str">
        <f t="shared" ca="1" si="81"/>
        <v/>
      </c>
      <c r="R71" s="123" t="str">
        <f t="shared" ref="R71" ca="1" si="84">S71</f>
        <v/>
      </c>
      <c r="S71" s="26" t="str">
        <f t="shared" ca="1" si="81"/>
        <v/>
      </c>
      <c r="T71" s="26" t="str">
        <f t="shared" ca="1" si="81"/>
        <v/>
      </c>
      <c r="U71" s="26" t="str">
        <f t="shared" ca="1" si="81"/>
        <v/>
      </c>
      <c r="V71" s="26" t="str">
        <f t="shared" ca="1" si="81"/>
        <v/>
      </c>
      <c r="W71" s="26" t="str">
        <f t="shared" ca="1" si="81"/>
        <v/>
      </c>
      <c r="X71" s="26" t="str">
        <f t="shared" ca="1" si="81"/>
        <v/>
      </c>
      <c r="Y71" s="26" t="str">
        <f t="shared" ca="1" si="81"/>
        <v/>
      </c>
      <c r="Z71" s="26" t="str">
        <f t="shared" ca="1" si="81"/>
        <v/>
      </c>
      <c r="AA71" s="26" t="str">
        <f t="shared" ca="1" si="81"/>
        <v/>
      </c>
      <c r="AB71" s="26" t="str">
        <f t="shared" ca="1" si="81"/>
        <v/>
      </c>
      <c r="AC71" s="26" t="str">
        <f t="shared" ca="1" si="81"/>
        <v/>
      </c>
      <c r="AD71" s="26" t="str">
        <f t="shared" ca="1" si="81"/>
        <v/>
      </c>
      <c r="AE71" s="26" t="str">
        <f t="shared" ca="1" si="81"/>
        <v/>
      </c>
      <c r="AF71" s="26" t="str">
        <f t="shared" ca="1" si="81"/>
        <v/>
      </c>
      <c r="AG71" s="26" t="str">
        <f t="shared" ca="1" si="82"/>
        <v/>
      </c>
      <c r="AH71" s="26" t="str">
        <f t="shared" ca="1" si="82"/>
        <v/>
      </c>
      <c r="AI71" s="26" t="str">
        <f t="shared" ca="1" si="82"/>
        <v/>
      </c>
      <c r="AJ71" s="26" t="str">
        <f t="shared" ca="1" si="82"/>
        <v/>
      </c>
      <c r="AK71" s="26" t="str">
        <f t="shared" ca="1" si="82"/>
        <v/>
      </c>
      <c r="AL71" s="26" t="str">
        <f t="shared" ca="1" si="82"/>
        <v/>
      </c>
      <c r="AM71" s="26" t="str">
        <f t="shared" ca="1" si="82"/>
        <v/>
      </c>
      <c r="AN71" s="26" t="str">
        <f t="shared" ca="1" si="82"/>
        <v/>
      </c>
      <c r="AO71" s="26" t="str">
        <f t="shared" ca="1" si="82"/>
        <v/>
      </c>
      <c r="AP71" s="26" t="str">
        <f t="shared" ca="1" si="82"/>
        <v/>
      </c>
      <c r="AQ71" s="26" t="str">
        <f t="shared" ca="1" si="82"/>
        <v/>
      </c>
      <c r="AR71" s="26" t="str">
        <f t="shared" ca="1" si="82"/>
        <v/>
      </c>
      <c r="AS71" s="26" t="str">
        <f t="shared" ca="1" si="82"/>
        <v/>
      </c>
      <c r="AT71" s="26" t="str">
        <f t="shared" ca="1" si="82"/>
        <v/>
      </c>
      <c r="AU71" s="26" t="str">
        <f t="shared" ca="1" si="82"/>
        <v/>
      </c>
      <c r="AV71" s="26" t="str">
        <f t="shared" ca="1" si="82"/>
        <v/>
      </c>
      <c r="AW71" s="26" t="str">
        <f t="shared" ca="1" si="83"/>
        <v/>
      </c>
      <c r="AX71" s="26" t="str">
        <f t="shared" ca="1" si="83"/>
        <v/>
      </c>
      <c r="AY71" s="26" t="str">
        <f t="shared" ca="1" si="83"/>
        <v/>
      </c>
      <c r="AZ71" s="26" t="str">
        <f t="shared" ca="1" si="83"/>
        <v/>
      </c>
      <c r="BA71" s="26" t="str">
        <f t="shared" ca="1" si="83"/>
        <v/>
      </c>
      <c r="BB71" s="26" t="str">
        <f t="shared" ca="1" si="83"/>
        <v/>
      </c>
      <c r="BC71" s="26" t="str">
        <f t="shared" ca="1" si="83"/>
        <v/>
      </c>
      <c r="BD71" s="26" t="str">
        <f t="shared" ca="1" si="83"/>
        <v/>
      </c>
      <c r="BE71" s="26" t="str">
        <f t="shared" ca="1" si="83"/>
        <v/>
      </c>
      <c r="BF71" s="26" t="str">
        <f t="shared" ca="1" si="83"/>
        <v/>
      </c>
      <c r="BG71" s="26" t="str">
        <f t="shared" ca="1" si="83"/>
        <v/>
      </c>
      <c r="BH71" s="26" t="str">
        <f t="shared" ca="1" si="83"/>
        <v/>
      </c>
      <c r="BI71" s="26" t="str">
        <f t="shared" ca="1" si="83"/>
        <v/>
      </c>
      <c r="BJ71" s="26" t="str">
        <f t="shared" ca="1" si="83"/>
        <v/>
      </c>
      <c r="BK71" s="26" t="str">
        <f t="shared" ca="1" si="83"/>
        <v/>
      </c>
      <c r="BL71" s="26" t="str">
        <f t="shared" ca="1" si="83"/>
        <v/>
      </c>
      <c r="BM71" s="1"/>
    </row>
    <row r="72" spans="2:65" ht="30" customHeight="1" x14ac:dyDescent="0.2">
      <c r="B72" s="135" t="s">
        <v>86</v>
      </c>
      <c r="C72" s="57" t="s">
        <v>35</v>
      </c>
      <c r="D72" s="57" t="s">
        <v>70</v>
      </c>
      <c r="E72" s="58">
        <v>1</v>
      </c>
      <c r="F72" s="59">
        <v>45981</v>
      </c>
      <c r="G72" s="60">
        <v>1</v>
      </c>
      <c r="I72" s="26"/>
      <c r="J72" s="26"/>
      <c r="K72" s="26"/>
      <c r="L72" s="26"/>
      <c r="M72" s="26"/>
      <c r="N72" s="26"/>
      <c r="O72" s="26"/>
      <c r="P72" s="123"/>
      <c r="Q72" s="123"/>
      <c r="R72" s="123"/>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1"/>
    </row>
    <row r="73" spans="2:65" ht="30" customHeight="1" x14ac:dyDescent="0.2">
      <c r="B73" s="135"/>
      <c r="C73" s="57"/>
      <c r="D73" s="57"/>
      <c r="E73" s="73"/>
      <c r="F73" s="83"/>
      <c r="G73" s="84"/>
      <c r="I73" s="26" t="str">
        <f t="shared" ca="1" si="77"/>
        <v/>
      </c>
      <c r="J73" s="26" t="str">
        <f t="shared" ca="1" si="77"/>
        <v/>
      </c>
      <c r="K73" s="26" t="str">
        <f t="shared" ca="1" si="77"/>
        <v/>
      </c>
      <c r="L73" s="26" t="str">
        <f t="shared" ca="1" si="77"/>
        <v/>
      </c>
      <c r="M73" s="26" t="str">
        <f t="shared" ca="1" si="77"/>
        <v/>
      </c>
      <c r="N73" s="26" t="str">
        <f t="shared" ca="1" si="77"/>
        <v/>
      </c>
      <c r="O73" s="26" t="str">
        <f t="shared" ca="1" si="77"/>
        <v/>
      </c>
      <c r="P73" s="26" t="str">
        <f t="shared" ca="1" si="77"/>
        <v/>
      </c>
      <c r="Q73" s="26" t="str">
        <f t="shared" ca="1" si="77"/>
        <v/>
      </c>
      <c r="R73" s="123" t="str">
        <f t="shared" ca="1" si="77"/>
        <v/>
      </c>
      <c r="S73" s="123" t="str">
        <f t="shared" ca="1" si="66"/>
        <v/>
      </c>
      <c r="T73" s="123" t="str">
        <f t="shared" ca="1" si="66"/>
        <v/>
      </c>
      <c r="U73" s="26" t="str">
        <f t="shared" ca="1" si="66"/>
        <v/>
      </c>
      <c r="V73" s="26" t="str">
        <f t="shared" ca="1" si="66"/>
        <v/>
      </c>
      <c r="W73" s="26" t="str">
        <f t="shared" ca="1" si="66"/>
        <v/>
      </c>
      <c r="X73" s="26" t="str">
        <f t="shared" ca="1" si="66"/>
        <v/>
      </c>
      <c r="Y73" s="26" t="str">
        <f t="shared" ca="1" si="66"/>
        <v/>
      </c>
      <c r="Z73" s="26" t="str">
        <f t="shared" ca="1" si="66"/>
        <v/>
      </c>
      <c r="AA73" s="26" t="str">
        <f t="shared" ca="1" si="66"/>
        <v/>
      </c>
      <c r="AB73" s="26" t="str">
        <f t="shared" ca="1" si="66"/>
        <v/>
      </c>
      <c r="AC73" s="26" t="str">
        <f t="shared" ca="1" si="26"/>
        <v/>
      </c>
      <c r="AD73" s="26" t="str">
        <f t="shared" ca="1" si="26"/>
        <v/>
      </c>
      <c r="AE73" s="26" t="str">
        <f t="shared" ca="1" si="26"/>
        <v/>
      </c>
      <c r="AF73" s="26" t="str">
        <f t="shared" ca="1" si="26"/>
        <v/>
      </c>
      <c r="AG73" s="26" t="str">
        <f t="shared" ca="1" si="26"/>
        <v/>
      </c>
      <c r="AH73" s="26" t="str">
        <f t="shared" ca="1" si="26"/>
        <v/>
      </c>
      <c r="AI73" s="26" t="str">
        <f t="shared" ca="1" si="26"/>
        <v/>
      </c>
      <c r="AJ73" s="26" t="str">
        <f t="shared" ca="1" si="26"/>
        <v/>
      </c>
      <c r="AK73" s="26" t="str">
        <f t="shared" ca="1" si="26"/>
        <v/>
      </c>
      <c r="AL73" s="26" t="str">
        <f t="shared" ca="1" si="26"/>
        <v/>
      </c>
      <c r="AM73" s="26" t="str">
        <f t="shared" ca="1" si="26"/>
        <v/>
      </c>
      <c r="AN73" s="26" t="str">
        <f t="shared" ca="1" si="26"/>
        <v/>
      </c>
      <c r="AO73" s="26" t="str">
        <f t="shared" ref="AO73:AV73" ca="1" si="85">IF(AND($C73="Goal",AO$7&gt;=$F73,AO$7&lt;=$F73+$G73-1),2,IF(AND($C73="Milestone",AO$7&gt;=$F73,AO$7&lt;=$F73+$G73-1),1,""))</f>
        <v/>
      </c>
      <c r="AP73" s="26" t="str">
        <f t="shared" ca="1" si="85"/>
        <v/>
      </c>
      <c r="AQ73" s="26" t="str">
        <f t="shared" ca="1" si="85"/>
        <v/>
      </c>
      <c r="AR73" s="26" t="str">
        <f t="shared" ca="1" si="85"/>
        <v/>
      </c>
      <c r="AS73" s="26" t="str">
        <f t="shared" ca="1" si="85"/>
        <v/>
      </c>
      <c r="AT73" s="26" t="str">
        <f t="shared" ca="1" si="85"/>
        <v/>
      </c>
      <c r="AU73" s="26" t="str">
        <f t="shared" ca="1" si="85"/>
        <v/>
      </c>
      <c r="AV73" s="26" t="str">
        <f t="shared" ca="1" si="85"/>
        <v/>
      </c>
      <c r="AW73" s="26" t="str">
        <f t="shared" ca="1" si="28"/>
        <v/>
      </c>
      <c r="AX73" s="26" t="str">
        <f t="shared" ca="1" si="28"/>
        <v/>
      </c>
      <c r="AY73" s="26" t="str">
        <f t="shared" ca="1" si="28"/>
        <v/>
      </c>
      <c r="AZ73" s="26" t="str">
        <f t="shared" ca="1" si="28"/>
        <v/>
      </c>
      <c r="BA73" s="26" t="str">
        <f t="shared" ca="1" si="28"/>
        <v/>
      </c>
      <c r="BB73" s="26" t="str">
        <f t="shared" ca="1" si="28"/>
        <v/>
      </c>
      <c r="BC73" s="26" t="str">
        <f t="shared" ca="1" si="28"/>
        <v/>
      </c>
      <c r="BD73" s="26" t="str">
        <f t="shared" ca="1" si="28"/>
        <v/>
      </c>
      <c r="BE73" s="26" t="str">
        <f t="shared" ca="1" si="28"/>
        <v/>
      </c>
      <c r="BF73" s="26" t="str">
        <f t="shared" ca="1" si="28"/>
        <v/>
      </c>
      <c r="BG73" s="26" t="str">
        <f t="shared" ca="1" si="28"/>
        <v/>
      </c>
      <c r="BH73" s="26" t="str">
        <f t="shared" ca="1" si="28"/>
        <v/>
      </c>
      <c r="BI73" s="26" t="str">
        <f t="shared" ca="1" si="28"/>
        <v/>
      </c>
      <c r="BJ73" s="26" t="str">
        <f t="shared" ca="1" si="28"/>
        <v/>
      </c>
      <c r="BK73" s="26" t="str">
        <f t="shared" ca="1" si="28"/>
        <v/>
      </c>
      <c r="BL73" s="26" t="str">
        <f t="shared" ca="1" si="28"/>
        <v/>
      </c>
      <c r="BM73" s="1"/>
    </row>
    <row r="74" spans="2:65" ht="30" customHeight="1" x14ac:dyDescent="0.2">
      <c r="D74" s="4"/>
      <c r="G74" s="11"/>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1"/>
    </row>
    <row r="75" spans="2:65" ht="30" customHeight="1" x14ac:dyDescent="0.2">
      <c r="D75" s="5"/>
      <c r="I75" s="26" t="str">
        <f t="shared" ref="I75:BL75" ca="1" si="86">IF(AND($C85="Goal",I$7&gt;=$F85,I$7&lt;=$F85+$G85-1),2,IF(AND($C85="Milestone",I$7&gt;=$F85,I$7&lt;=$F85+$G85-1),1,""))</f>
        <v/>
      </c>
      <c r="J75" s="26" t="str">
        <f t="shared" ca="1" si="86"/>
        <v/>
      </c>
      <c r="K75" s="26" t="str">
        <f t="shared" ca="1" si="86"/>
        <v/>
      </c>
      <c r="L75" s="26" t="str">
        <f t="shared" ca="1" si="86"/>
        <v/>
      </c>
      <c r="M75" s="26" t="str">
        <f t="shared" ca="1" si="86"/>
        <v/>
      </c>
      <c r="N75" s="26" t="str">
        <f t="shared" ca="1" si="86"/>
        <v/>
      </c>
      <c r="O75" s="26" t="str">
        <f t="shared" ca="1" si="86"/>
        <v/>
      </c>
      <c r="P75" s="26" t="str">
        <f t="shared" ca="1" si="86"/>
        <v/>
      </c>
      <c r="Q75" s="26" t="str">
        <f t="shared" ca="1" si="86"/>
        <v/>
      </c>
      <c r="R75" s="26" t="str">
        <f t="shared" ca="1" si="86"/>
        <v/>
      </c>
      <c r="S75" s="26" t="str">
        <f t="shared" ca="1" si="86"/>
        <v/>
      </c>
      <c r="T75" s="26" t="str">
        <f t="shared" ca="1" si="86"/>
        <v/>
      </c>
      <c r="U75" s="26" t="str">
        <f t="shared" ca="1" si="86"/>
        <v/>
      </c>
      <c r="V75" s="26" t="str">
        <f t="shared" ca="1" si="86"/>
        <v/>
      </c>
      <c r="W75" s="26" t="str">
        <f t="shared" ca="1" si="86"/>
        <v/>
      </c>
      <c r="X75" s="26" t="str">
        <f t="shared" ca="1" si="86"/>
        <v/>
      </c>
      <c r="Y75" s="26" t="str">
        <f t="shared" ca="1" si="86"/>
        <v/>
      </c>
      <c r="Z75" s="26" t="str">
        <f t="shared" ca="1" si="86"/>
        <v/>
      </c>
      <c r="AA75" s="26" t="str">
        <f t="shared" ca="1" si="86"/>
        <v/>
      </c>
      <c r="AB75" s="26" t="str">
        <f t="shared" ca="1" si="86"/>
        <v/>
      </c>
      <c r="AC75" s="26" t="str">
        <f t="shared" ca="1" si="86"/>
        <v/>
      </c>
      <c r="AD75" s="26" t="str">
        <f t="shared" ca="1" si="86"/>
        <v/>
      </c>
      <c r="AE75" s="26" t="str">
        <f t="shared" ca="1" si="86"/>
        <v/>
      </c>
      <c r="AF75" s="26" t="str">
        <f t="shared" ca="1" si="86"/>
        <v/>
      </c>
      <c r="AG75" s="26" t="str">
        <f t="shared" ca="1" si="86"/>
        <v/>
      </c>
      <c r="AH75" s="26" t="str">
        <f t="shared" ca="1" si="86"/>
        <v/>
      </c>
      <c r="AI75" s="26" t="str">
        <f t="shared" ca="1" si="86"/>
        <v/>
      </c>
      <c r="AJ75" s="26" t="str">
        <f t="shared" ca="1" si="86"/>
        <v/>
      </c>
      <c r="AK75" s="26" t="str">
        <f t="shared" ca="1" si="86"/>
        <v/>
      </c>
      <c r="AL75" s="26" t="str">
        <f t="shared" ca="1" si="86"/>
        <v/>
      </c>
      <c r="AM75" s="26" t="str">
        <f t="shared" ca="1" si="86"/>
        <v/>
      </c>
      <c r="AN75" s="26" t="str">
        <f t="shared" ca="1" si="86"/>
        <v/>
      </c>
      <c r="AO75" s="26" t="str">
        <f t="shared" ca="1" si="86"/>
        <v/>
      </c>
      <c r="AP75" s="26" t="str">
        <f t="shared" ca="1" si="86"/>
        <v/>
      </c>
      <c r="AQ75" s="26" t="str">
        <f t="shared" ca="1" si="86"/>
        <v/>
      </c>
      <c r="AR75" s="26" t="str">
        <f t="shared" ca="1" si="86"/>
        <v/>
      </c>
      <c r="AS75" s="26" t="str">
        <f t="shared" ca="1" si="86"/>
        <v/>
      </c>
      <c r="AT75" s="26" t="str">
        <f t="shared" ca="1" si="86"/>
        <v/>
      </c>
      <c r="AU75" s="26" t="str">
        <f t="shared" ca="1" si="86"/>
        <v/>
      </c>
      <c r="AV75" s="26" t="str">
        <f t="shared" ca="1" si="86"/>
        <v/>
      </c>
      <c r="AW75" s="26" t="str">
        <f t="shared" ca="1" si="86"/>
        <v/>
      </c>
      <c r="AX75" s="26" t="str">
        <f t="shared" ca="1" si="86"/>
        <v/>
      </c>
      <c r="AY75" s="26" t="str">
        <f t="shared" ca="1" si="86"/>
        <v/>
      </c>
      <c r="AZ75" s="26" t="str">
        <f t="shared" ca="1" si="86"/>
        <v/>
      </c>
      <c r="BA75" s="26" t="str">
        <f t="shared" ca="1" si="86"/>
        <v/>
      </c>
      <c r="BB75" s="26" t="str">
        <f t="shared" ca="1" si="86"/>
        <v/>
      </c>
      <c r="BC75" s="26" t="str">
        <f t="shared" ca="1" si="86"/>
        <v/>
      </c>
      <c r="BD75" s="26" t="str">
        <f t="shared" ca="1" si="86"/>
        <v/>
      </c>
      <c r="BE75" s="26" t="str">
        <f t="shared" ca="1" si="86"/>
        <v/>
      </c>
      <c r="BF75" s="26" t="str">
        <f t="shared" ca="1" si="86"/>
        <v/>
      </c>
      <c r="BG75" s="26" t="str">
        <f t="shared" ca="1" si="86"/>
        <v/>
      </c>
      <c r="BH75" s="26" t="str">
        <f t="shared" ca="1" si="86"/>
        <v/>
      </c>
      <c r="BI75" s="26" t="str">
        <f t="shared" ca="1" si="86"/>
        <v/>
      </c>
      <c r="BJ75" s="26" t="str">
        <f t="shared" ca="1" si="86"/>
        <v/>
      </c>
      <c r="BK75" s="26" t="str">
        <f t="shared" ca="1" si="86"/>
        <v/>
      </c>
      <c r="BL75" s="26" t="str">
        <f t="shared" ca="1" si="86"/>
        <v/>
      </c>
      <c r="BM75" s="1"/>
    </row>
  </sheetData>
  <mergeCells count="8">
    <mergeCell ref="X4:AA4"/>
    <mergeCell ref="AC4:AF4"/>
    <mergeCell ref="B2:H2"/>
    <mergeCell ref="I2:N2"/>
    <mergeCell ref="O2:T2"/>
    <mergeCell ref="I4:L4"/>
    <mergeCell ref="N4:Q4"/>
    <mergeCell ref="S4:V4"/>
  </mergeCells>
  <conditionalFormatting sqref="E9:E73">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62" priority="4">
      <formula>I$7&lt;=EOMONTH($I$7,0)</formula>
    </cfRule>
  </conditionalFormatting>
  <conditionalFormatting sqref="I7:BL8">
    <cfRule type="expression" dxfId="61" priority="1">
      <formula>AND(TODAY()&gt;=I$7,TODAY()&lt;J$7)</formula>
    </cfRule>
  </conditionalFormatting>
  <conditionalFormatting sqref="I9:BL75">
    <cfRule type="expression" dxfId="60" priority="200">
      <formula>AND(TODAY()&gt;=I$7,TODAY()&lt;J$7)</formula>
    </cfRule>
  </conditionalFormatting>
  <conditionalFormatting sqref="I10:BL13 I17:BL22 I24:BL27 I31:BL34 I38:BL41 I45:BL48 I52:BL55 I59:BL62 I66:BL69 I73:BL73">
    <cfRule type="expression" dxfId="59" priority="448" stopIfTrue="1">
      <formula>AND(LEN($C10)=0,I$7&gt;=$F10,I$7&lt;=$F10+$G10-1)</formula>
    </cfRule>
    <cfRule type="expression" dxfId="58" priority="447" stopIfTrue="1">
      <formula>AND($C10="Med Risk",I$7&gt;=$F10,I$7&lt;=$F10+$G10-1)</formula>
    </cfRule>
    <cfRule type="expression" dxfId="57" priority="446" stopIfTrue="1">
      <formula>AND($C10="On Track",I$7&gt;=$F10,I$7&lt;=$F10+$G10-1)</formula>
    </cfRule>
    <cfRule type="expression" dxfId="56" priority="445" stopIfTrue="1">
      <formula>AND($C10="High Risk",I$7&gt;=$F10,I$7&lt;=$F10+$G10-1)</formula>
    </cfRule>
    <cfRule type="expression" dxfId="55" priority="444" stopIfTrue="1">
      <formula>AND($C10="Low Risk",I$7&gt;=$F10,I$7&lt;=$F10+$G10-1)</formula>
    </cfRule>
  </conditionalFormatting>
  <conditionalFormatting sqref="I14:BL16 I21:BL23 I28:BL30 I35:BL37 I42:BL44 I49:BL51 I56:BL58 I63:BL65 I70:BL72">
    <cfRule type="expression" dxfId="54" priority="460" stopIfTrue="1">
      <formula>AND($C14="Low Risk",I$7&gt;=$F14,I$7&lt;=$F14+$G14-1)</formula>
    </cfRule>
    <cfRule type="expression" dxfId="53" priority="461" stopIfTrue="1">
      <formula>AND($C14="High Risk",I$7&gt;=$F14,I$7&lt;=$F14+$G14-1)</formula>
    </cfRule>
    <cfRule type="expression" dxfId="52" priority="462" stopIfTrue="1">
      <formula>AND($C14="On Track",I$7&gt;=$F14,I$7&lt;=$F14+$G14-1)</formula>
    </cfRule>
    <cfRule type="expression" dxfId="51" priority="463" stopIfTrue="1">
      <formula>AND($C14="Med Risk",I$7&gt;=$F14,I$7&lt;=$F14+$G14-1)</formula>
    </cfRule>
    <cfRule type="expression" dxfId="50" priority="464" stopIfTrue="1">
      <formula>AND(LEN($C14)=0,I$7&gt;=$F14,I$7&lt;=$F14+$G14-1)</formula>
    </cfRule>
  </conditionalFormatting>
  <conditionalFormatting sqref="I23:BL28">
    <cfRule type="expression" dxfId="49" priority="536" stopIfTrue="1">
      <formula>AND($C29="High Risk",I$7&gt;=$F29,I$7&lt;=$F29+$G29-1)</formula>
    </cfRule>
    <cfRule type="expression" dxfId="48" priority="539" stopIfTrue="1">
      <formula>AND(LEN($C29)=0,I$7&gt;=$F29,I$7&lt;=$F29+$G29-1)</formula>
    </cfRule>
    <cfRule type="expression" dxfId="47" priority="538" stopIfTrue="1">
      <formula>AND($C29="Med Risk",I$7&gt;=$F29,I$7&lt;=$F29+$G29-1)</formula>
    </cfRule>
    <cfRule type="expression" dxfId="46" priority="537" stopIfTrue="1">
      <formula>AND($C29="On Track",I$7&gt;=$F29,I$7&lt;=$F29+$G29-1)</formula>
    </cfRule>
    <cfRule type="expression" dxfId="45" priority="535" stopIfTrue="1">
      <formula>AND($C29="Low Risk",I$7&gt;=$F29,I$7&lt;=$F29+$G29-1)</formula>
    </cfRule>
  </conditionalFormatting>
  <conditionalFormatting sqref="I29:BL34">
    <cfRule type="expression" dxfId="44" priority="551" stopIfTrue="1">
      <formula>AND(LEN($C36)=0,I$7&gt;=$F36,I$7&lt;=$F36+$G36-1)</formula>
    </cfRule>
    <cfRule type="expression" dxfId="43" priority="550" stopIfTrue="1">
      <formula>AND($C36="Med Risk",I$7&gt;=$F36,I$7&lt;=$F36+$G36-1)</formula>
    </cfRule>
    <cfRule type="expression" dxfId="42" priority="549" stopIfTrue="1">
      <formula>AND($C36="On Track",I$7&gt;=$F36,I$7&lt;=$F36+$G36-1)</formula>
    </cfRule>
    <cfRule type="expression" dxfId="41" priority="548" stopIfTrue="1">
      <formula>AND($C36="High Risk",I$7&gt;=$F36,I$7&lt;=$F36+$G36-1)</formula>
    </cfRule>
    <cfRule type="expression" dxfId="40" priority="547" stopIfTrue="1">
      <formula>AND($C36="Low Risk",I$7&gt;=$F36,I$7&lt;=$F36+$G36-1)</formula>
    </cfRule>
  </conditionalFormatting>
  <conditionalFormatting sqref="I35:BL36 I38:BL75">
    <cfRule type="expression" dxfId="39" priority="577" stopIfTrue="1">
      <formula>AND(LEN($C45)=0,I$7&gt;=$F45,I$7&lt;=$F45+$G45-1)</formula>
    </cfRule>
    <cfRule type="expression" dxfId="38" priority="573" stopIfTrue="1">
      <formula>AND($C45="Low Risk",I$7&gt;=$F45,I$7&lt;=$F45+$G45-1)</formula>
    </cfRule>
    <cfRule type="expression" dxfId="37" priority="574" stopIfTrue="1">
      <formula>AND($C45="High Risk",I$7&gt;=$F45,I$7&lt;=$F45+$G45-1)</formula>
    </cfRule>
    <cfRule type="expression" dxfId="36" priority="575" stopIfTrue="1">
      <formula>AND($C45="On Track",I$7&gt;=$F45,I$7&lt;=$F45+$G45-1)</formula>
    </cfRule>
    <cfRule type="expression" dxfId="35" priority="576" stopIfTrue="1">
      <formula>AND($C45="Med Risk",I$7&gt;=$F45,I$7&lt;=$F45+$G45-1)</formula>
    </cfRule>
  </conditionalFormatting>
  <conditionalFormatting sqref="I37:BL37">
    <cfRule type="expression" dxfId="34" priority="133" stopIfTrue="1">
      <formula>AND(#REF!="Low Risk",I$7&gt;=#REF!,I$7&lt;=#REF!+#REF!-1)</formula>
    </cfRule>
    <cfRule type="expression" dxfId="33" priority="134" stopIfTrue="1">
      <formula>AND(#REF!="High Risk",I$7&gt;=#REF!,I$7&lt;=#REF!+#REF!-1)</formula>
    </cfRule>
    <cfRule type="expression" dxfId="32" priority="135" stopIfTrue="1">
      <formula>AND(#REF!="On Track",I$7&gt;=#REF!,I$7&lt;=#REF!+#REF!-1)</formula>
    </cfRule>
    <cfRule type="expression" dxfId="31" priority="137" stopIfTrue="1">
      <formula>AND(LEN(#REF!)=0,I$7&gt;=#REF!,I$7&lt;=#REF!+#REF!-1)</formula>
    </cfRule>
    <cfRule type="expression" dxfId="30" priority="136" stopIfTrue="1">
      <formula>AND(#REF!="Med Risk",I$7&gt;=#REF!,I$7&lt;=#REF!+#REF!-1)</formula>
    </cfRule>
  </conditionalFormatting>
  <conditionalFormatting sqref="I6:BM6">
    <cfRule type="expression" dxfId="29" priority="2">
      <formula>AND(I$7&lt;=EOMONTH($I$7,1),I$7&gt;EOMONTH($I$7,0))</formula>
    </cfRule>
  </conditionalFormatting>
  <conditionalFormatting sqref="J6:BM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72"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63" xr:uid="{659FD5CB-B62B-4854-B8A9-29F1F70930AC}"/>
    <dataValidation allowBlank="1" showInputMessage="1" showErrorMessage="1" prompt="This is an empty row" sqref="A62"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38100</xdr:colOff>
                    <xdr:row>7</xdr:row>
                    <xdr:rowOff>63500</xdr:rowOff>
                  </from>
                  <to>
                    <xdr:col>64</xdr:col>
                    <xdr:colOff>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E9:E73</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I10:BL13 I18:BL20 I25:BL27 I32:BL34 I39:BL41 I46:BL48 I53:BL55 I60:BL62 I67:BL69</xm:sqref>
        </x14:conditionalFormatting>
        <x14:conditionalFormatting xmlns:xm="http://schemas.microsoft.com/office/excel/2006/main">
          <x14:cfRule type="iconSet" priority="45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I14:BL16 I21:BL23 I28:BL30 I35:BL37 I42:BL44 I49:BL51 I56:BL58 I63:BL65 I70:BL72</xm:sqref>
        </x14:conditionalFormatting>
        <x14:conditionalFormatting xmlns:xm="http://schemas.microsoft.com/office/excel/2006/main">
          <x14:cfRule type="iconSet" priority="82"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I17:BL36 I38:BL38 I45:BL45 I52:BL52 I59:BL59 I66:BL66 I73:BL73</xm:sqref>
        </x14:conditionalFormatting>
        <x14:conditionalFormatting xmlns:xm="http://schemas.microsoft.com/office/excel/2006/main">
          <x14:cfRule type="iconSet" priority="132"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I37:BL37</xm:sqref>
        </x14:conditionalFormatting>
        <x14:conditionalFormatting xmlns:xm="http://schemas.microsoft.com/office/excel/2006/main">
          <x14:cfRule type="iconSet" priority="198"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I38:BL75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83203125" style="9" customWidth="1"/>
    <col min="2" max="2" width="30.83203125" customWidth="1"/>
    <col min="3" max="3" width="13.5" bestFit="1" customWidth="1"/>
    <col min="4" max="4" width="20.5" customWidth="1"/>
    <col min="5" max="5" width="15.83203125" customWidth="1"/>
    <col min="6" max="6" width="10.5" style="2" customWidth="1"/>
    <col min="7" max="7" width="10.5" customWidth="1"/>
    <col min="8" max="8" width="2.5" customWidth="1"/>
    <col min="9" max="64" width="3.5" customWidth="1"/>
    <col min="65" max="65" width="2.5" customWidth="1"/>
  </cols>
  <sheetData>
    <row r="1" spans="1:68" ht="25" customHeight="1" x14ac:dyDescent="0.2"/>
    <row r="2" spans="1:68" ht="50" customHeight="1" x14ac:dyDescent="0.2">
      <c r="A2" s="10"/>
      <c r="B2" s="150" t="s">
        <v>87</v>
      </c>
      <c r="C2" s="150"/>
      <c r="D2" s="150"/>
      <c r="E2" s="150"/>
      <c r="F2" s="150"/>
      <c r="G2" s="150"/>
      <c r="H2" s="150"/>
      <c r="I2" s="151"/>
      <c r="J2" s="151"/>
      <c r="K2" s="151"/>
      <c r="L2" s="151"/>
      <c r="M2" s="151"/>
      <c r="N2" s="151"/>
      <c r="O2" s="152"/>
      <c r="P2" s="153"/>
      <c r="Q2" s="153"/>
      <c r="R2" s="153"/>
      <c r="S2" s="153"/>
      <c r="T2" s="153"/>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20" customHeight="1" x14ac:dyDescent="0.2">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2">
      <c r="A4" s="10"/>
      <c r="B4" s="52" t="s">
        <v>88</v>
      </c>
      <c r="C4" s="48"/>
      <c r="D4" s="49"/>
      <c r="E4" s="28"/>
      <c r="F4" s="29"/>
      <c r="G4" s="30" t="s">
        <v>5</v>
      </c>
      <c r="H4" s="28"/>
      <c r="I4" s="147" t="s">
        <v>6</v>
      </c>
      <c r="J4" s="147"/>
      <c r="K4" s="147"/>
      <c r="L4" s="147"/>
      <c r="M4" s="31"/>
      <c r="N4" s="148" t="s">
        <v>7</v>
      </c>
      <c r="O4" s="148"/>
      <c r="P4" s="148"/>
      <c r="Q4" s="148"/>
      <c r="R4" s="31"/>
      <c r="S4" s="149" t="s">
        <v>8</v>
      </c>
      <c r="T4" s="149"/>
      <c r="U4" s="149"/>
      <c r="V4" s="149"/>
      <c r="W4" s="31"/>
      <c r="X4" s="142" t="s">
        <v>9</v>
      </c>
      <c r="Y4" s="142"/>
      <c r="Z4" s="142"/>
      <c r="AA4" s="142"/>
      <c r="AB4" s="31"/>
      <c r="AC4" s="143" t="s">
        <v>10</v>
      </c>
      <c r="AD4" s="143"/>
      <c r="AE4" s="143"/>
      <c r="AF4" s="143"/>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2">
      <c r="A5" s="10"/>
      <c r="B5" s="53" t="s">
        <v>89</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25">
      <c r="A6" s="10"/>
      <c r="B6" s="47" t="s">
        <v>11</v>
      </c>
      <c r="C6" s="33" cm="1">
        <f t="array" aca="1" ref="C6" ca="1">IFERROR(IF(MIN(Milestones435[Start])=0,TODAY(),B11(Milestones435[Start])),TODAY())</f>
        <v>45981</v>
      </c>
      <c r="D6" s="51"/>
      <c r="E6" s="31"/>
      <c r="F6" s="32"/>
      <c r="G6" s="31"/>
      <c r="H6" s="28"/>
      <c r="I6" s="92" t="str">
        <f ca="1">TEXT(I7,"mmmm")</f>
        <v>November</v>
      </c>
      <c r="J6" s="92"/>
      <c r="K6" s="92"/>
      <c r="L6" s="92"/>
      <c r="M6" s="92"/>
      <c r="N6" s="92"/>
      <c r="O6" s="92"/>
      <c r="P6" s="92" t="str">
        <f ca="1">IF(TEXT(P7,"mmmm")=I6,"",TEXT(P7,"mmmm"))</f>
        <v>December</v>
      </c>
      <c r="Q6" s="92"/>
      <c r="R6" s="92"/>
      <c r="S6" s="92"/>
      <c r="T6" s="92"/>
      <c r="U6" s="92"/>
      <c r="V6" s="92"/>
      <c r="W6" s="92" t="str">
        <f ca="1">IF(OR(TEXT(W7,"mmmm")=P6,TEXT(W7,"mmmm")=I6),"",TEXT(W7,"mmmm"))</f>
        <v/>
      </c>
      <c r="X6" s="92"/>
      <c r="Y6" s="92"/>
      <c r="Z6" s="92"/>
      <c r="AA6" s="92"/>
      <c r="AB6" s="92"/>
      <c r="AC6" s="92"/>
      <c r="AD6" s="92" t="str">
        <f ca="1">IF(OR(TEXT(AD7,"mmmm")=W6,TEXT(AD7,"mmmm")=P6,TEXT(AD7,"mmmm")=I6),"",TEXT(AD7,"mmmm"))</f>
        <v/>
      </c>
      <c r="AE6" s="92"/>
      <c r="AF6" s="92"/>
      <c r="AG6" s="92"/>
      <c r="AH6" s="92"/>
      <c r="AI6" s="92"/>
      <c r="AJ6" s="92"/>
      <c r="AK6" s="92" t="str">
        <f ca="1">IF(OR(TEXT(AK7,"mmmm")=AD6,TEXT(AK7,"mmmm")=W6,TEXT(AK7,"mmmm")=P6,TEXT(AK7,"mmmm")=I6),"",TEXT(AK7,"mmmm"))</f>
        <v/>
      </c>
      <c r="AL6" s="92"/>
      <c r="AM6" s="92"/>
      <c r="AN6" s="92"/>
      <c r="AO6" s="92"/>
      <c r="AP6" s="92"/>
      <c r="AQ6" s="92"/>
      <c r="AR6" s="92" t="str">
        <f ca="1">IF(OR(TEXT(AR7,"mmmm")=AK6,TEXT(AR7,"mmmm")=AD6,TEXT(AR7,"mmmm")=W6,TEXT(AR7,"mmmm")=P6),"",TEXT(AR7,"mmmm"))</f>
        <v/>
      </c>
      <c r="AS6" s="92"/>
      <c r="AT6" s="92"/>
      <c r="AU6" s="92"/>
      <c r="AV6" s="92"/>
      <c r="AW6" s="92"/>
      <c r="AX6" s="92"/>
      <c r="AY6" s="92" t="str">
        <f ca="1">IF(OR(TEXT(AY7,"mmmm")=AR6,TEXT(AY7,"mmmm")=AK6,TEXT(AY7,"mmmm")=AD6,TEXT(AY7,"mmmm")=W6),"",TEXT(AY7,"mmmm"))</f>
        <v>January</v>
      </c>
      <c r="AZ6" s="92"/>
      <c r="BA6" s="92"/>
      <c r="BB6" s="93"/>
      <c r="BC6" s="63"/>
      <c r="BD6" s="63"/>
      <c r="BE6" s="63"/>
      <c r="BF6" s="63" t="str">
        <f ca="1">IF(OR(TEXT(BF7,"mmmm")=AY6,TEXT(BF7,"mmmm")=AR6,TEXT(BF7,"mmmm")=AK6,TEXT(BF7,"mmmm")=AD6),"",TEXT(BF7,"mmmm"))</f>
        <v/>
      </c>
      <c r="BG6" s="63"/>
      <c r="BH6" s="63"/>
      <c r="BI6" s="63"/>
      <c r="BJ6" s="63"/>
      <c r="BK6" s="63"/>
      <c r="BL6" s="63"/>
      <c r="BM6" s="31"/>
    </row>
    <row r="7" spans="1:68" ht="30" customHeight="1" x14ac:dyDescent="0.2">
      <c r="A7" s="10"/>
      <c r="B7" s="47" t="s">
        <v>90</v>
      </c>
      <c r="C7" s="34">
        <v>5</v>
      </c>
      <c r="D7" s="50"/>
      <c r="E7" s="28"/>
      <c r="F7" s="28"/>
      <c r="G7" s="28"/>
      <c r="H7" s="28"/>
      <c r="I7" s="94">
        <f ca="1">IFERROR(Project_Start+Scrolling_Increment,TODAY())</f>
        <v>45986</v>
      </c>
      <c r="J7" s="17">
        <f ca="1">I7+1</f>
        <v>45987</v>
      </c>
      <c r="K7" s="17">
        <f t="shared" ref="K7:AX7" ca="1" si="0">J7+1</f>
        <v>45988</v>
      </c>
      <c r="L7" s="17">
        <f t="shared" ca="1" si="0"/>
        <v>45989</v>
      </c>
      <c r="M7" s="17">
        <f t="shared" ca="1" si="0"/>
        <v>45990</v>
      </c>
      <c r="N7" s="17">
        <f t="shared" ca="1" si="0"/>
        <v>45991</v>
      </c>
      <c r="O7" s="62">
        <f t="shared" ca="1" si="0"/>
        <v>45992</v>
      </c>
      <c r="P7" s="17">
        <f ca="1">O7+1</f>
        <v>45993</v>
      </c>
      <c r="Q7" s="17">
        <f ca="1">P7+1</f>
        <v>45994</v>
      </c>
      <c r="R7" s="17">
        <f t="shared" ca="1" si="0"/>
        <v>45995</v>
      </c>
      <c r="S7" s="17">
        <f t="shared" ca="1" si="0"/>
        <v>45996</v>
      </c>
      <c r="T7" s="17">
        <f t="shared" ca="1" si="0"/>
        <v>45997</v>
      </c>
      <c r="U7" s="17">
        <f t="shared" ca="1" si="0"/>
        <v>45998</v>
      </c>
      <c r="V7" s="62">
        <f t="shared" ca="1" si="0"/>
        <v>45999</v>
      </c>
      <c r="W7" s="17">
        <f ca="1">V7+1</f>
        <v>46000</v>
      </c>
      <c r="X7" s="17">
        <f ca="1">W7+1</f>
        <v>46001</v>
      </c>
      <c r="Y7" s="17">
        <f t="shared" ca="1" si="0"/>
        <v>46002</v>
      </c>
      <c r="Z7" s="17">
        <f t="shared" ca="1" si="0"/>
        <v>46003</v>
      </c>
      <c r="AA7" s="17">
        <f t="shared" ca="1" si="0"/>
        <v>46004</v>
      </c>
      <c r="AB7" s="17">
        <f t="shared" ca="1" si="0"/>
        <v>46005</v>
      </c>
      <c r="AC7" s="62">
        <f t="shared" ca="1" si="0"/>
        <v>46006</v>
      </c>
      <c r="AD7" s="17">
        <f ca="1">AC7+1</f>
        <v>46007</v>
      </c>
      <c r="AE7" s="17">
        <f ca="1">AD7+1</f>
        <v>46008</v>
      </c>
      <c r="AF7" s="17">
        <f t="shared" ca="1" si="0"/>
        <v>46009</v>
      </c>
      <c r="AG7" s="17">
        <f t="shared" ca="1" si="0"/>
        <v>46010</v>
      </c>
      <c r="AH7" s="17">
        <f t="shared" ca="1" si="0"/>
        <v>46011</v>
      </c>
      <c r="AI7" s="17">
        <f t="shared" ca="1" si="0"/>
        <v>46012</v>
      </c>
      <c r="AJ7" s="62">
        <f t="shared" ca="1" si="0"/>
        <v>46013</v>
      </c>
      <c r="AK7" s="17">
        <f ca="1">AJ7+1</f>
        <v>46014</v>
      </c>
      <c r="AL7" s="17">
        <f ca="1">AK7+1</f>
        <v>46015</v>
      </c>
      <c r="AM7" s="17">
        <f t="shared" ca="1" si="0"/>
        <v>46016</v>
      </c>
      <c r="AN7" s="17">
        <f t="shared" ca="1" si="0"/>
        <v>46017</v>
      </c>
      <c r="AO7" s="17">
        <f t="shared" ca="1" si="0"/>
        <v>46018</v>
      </c>
      <c r="AP7" s="17">
        <f t="shared" ca="1" si="0"/>
        <v>46019</v>
      </c>
      <c r="AQ7" s="62">
        <f t="shared" ca="1" si="0"/>
        <v>46020</v>
      </c>
      <c r="AR7" s="17">
        <f ca="1">AQ7+1</f>
        <v>46021</v>
      </c>
      <c r="AS7" s="17">
        <f ca="1">AR7+1</f>
        <v>46022</v>
      </c>
      <c r="AT7" s="17">
        <f t="shared" ca="1" si="0"/>
        <v>46023</v>
      </c>
      <c r="AU7" s="17">
        <f t="shared" ca="1" si="0"/>
        <v>46024</v>
      </c>
      <c r="AV7" s="17">
        <f t="shared" ca="1" si="0"/>
        <v>46025</v>
      </c>
      <c r="AW7" s="17">
        <f t="shared" ca="1" si="0"/>
        <v>46026</v>
      </c>
      <c r="AX7" s="62">
        <f t="shared" ca="1" si="0"/>
        <v>46027</v>
      </c>
      <c r="AY7" s="17">
        <f ca="1">AX7+1</f>
        <v>46028</v>
      </c>
      <c r="AZ7" s="17">
        <f ca="1">AY7+1</f>
        <v>46029</v>
      </c>
      <c r="BA7" s="17">
        <f t="shared" ref="BA7:BE7" ca="1" si="1">AZ7+1</f>
        <v>46030</v>
      </c>
      <c r="BB7" s="17">
        <f t="shared" ca="1" si="1"/>
        <v>46031</v>
      </c>
      <c r="BC7" s="17">
        <f t="shared" ca="1" si="1"/>
        <v>46032</v>
      </c>
      <c r="BD7" s="17">
        <f t="shared" ca="1" si="1"/>
        <v>46033</v>
      </c>
      <c r="BE7" s="62">
        <f t="shared" ca="1" si="1"/>
        <v>46034</v>
      </c>
      <c r="BF7" s="17">
        <f ca="1">BE7+1</f>
        <v>46035</v>
      </c>
      <c r="BG7" s="17">
        <f ca="1">BF7+1</f>
        <v>46036</v>
      </c>
      <c r="BH7" s="17">
        <f t="shared" ref="BH7:BL7" ca="1" si="2">BG7+1</f>
        <v>46037</v>
      </c>
      <c r="BI7" s="17">
        <f t="shared" ca="1" si="2"/>
        <v>46038</v>
      </c>
      <c r="BJ7" s="17">
        <f t="shared" ca="1" si="2"/>
        <v>46039</v>
      </c>
      <c r="BK7" s="17">
        <f t="shared" ca="1" si="2"/>
        <v>46040</v>
      </c>
      <c r="BL7" s="18">
        <f t="shared" ca="1" si="2"/>
        <v>46041</v>
      </c>
      <c r="BM7" s="31"/>
    </row>
    <row r="8" spans="1:68" ht="20" customHeight="1" x14ac:dyDescent="0.2">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 customHeight="1" x14ac:dyDescent="0.2">
      <c r="A9" s="10"/>
      <c r="B9" s="116" t="s">
        <v>12</v>
      </c>
      <c r="C9" s="117" t="s">
        <v>91</v>
      </c>
      <c r="D9" s="117" t="s">
        <v>14</v>
      </c>
      <c r="E9" s="117" t="s">
        <v>15</v>
      </c>
      <c r="F9" s="117" t="s">
        <v>16</v>
      </c>
      <c r="G9" s="117" t="s">
        <v>17</v>
      </c>
      <c r="H9" s="46"/>
      <c r="I9" s="36" t="str">
        <f t="shared" ref="I9:BL9" ca="1" si="3">LEFT(TEXT(I7,"ddd"),1)</f>
        <v>T</v>
      </c>
      <c r="J9" s="36" t="str">
        <f t="shared" ca="1" si="3"/>
        <v>W</v>
      </c>
      <c r="K9" s="36" t="str">
        <f t="shared" ca="1" si="3"/>
        <v>T</v>
      </c>
      <c r="L9" s="36" t="str">
        <f t="shared" ca="1" si="3"/>
        <v>F</v>
      </c>
      <c r="M9" s="36" t="str">
        <f t="shared" ca="1" si="3"/>
        <v>S</v>
      </c>
      <c r="N9" s="36" t="str">
        <f t="shared" ca="1" si="3"/>
        <v>S</v>
      </c>
      <c r="O9" s="36" t="str">
        <f t="shared" ca="1" si="3"/>
        <v>M</v>
      </c>
      <c r="P9" s="36" t="str">
        <f t="shared" ca="1" si="3"/>
        <v>T</v>
      </c>
      <c r="Q9" s="36" t="str">
        <f t="shared" ca="1" si="3"/>
        <v>W</v>
      </c>
      <c r="R9" s="36" t="str">
        <f t="shared" ca="1" si="3"/>
        <v>T</v>
      </c>
      <c r="S9" s="36" t="str">
        <f t="shared" ca="1" si="3"/>
        <v>F</v>
      </c>
      <c r="T9" s="36" t="str">
        <f t="shared" ca="1" si="3"/>
        <v>S</v>
      </c>
      <c r="U9" s="36" t="str">
        <f t="shared" ca="1" si="3"/>
        <v>S</v>
      </c>
      <c r="V9" s="36" t="str">
        <f t="shared" ca="1" si="3"/>
        <v>M</v>
      </c>
      <c r="W9" s="36" t="str">
        <f t="shared" ca="1" si="3"/>
        <v>T</v>
      </c>
      <c r="X9" s="36" t="str">
        <f t="shared" ca="1" si="3"/>
        <v>W</v>
      </c>
      <c r="Y9" s="36" t="str">
        <f t="shared" ca="1" si="3"/>
        <v>T</v>
      </c>
      <c r="Z9" s="36" t="str">
        <f t="shared" ca="1" si="3"/>
        <v>F</v>
      </c>
      <c r="AA9" s="36" t="str">
        <f t="shared" ca="1" si="3"/>
        <v>S</v>
      </c>
      <c r="AB9" s="36" t="str">
        <f t="shared" ca="1" si="3"/>
        <v>S</v>
      </c>
      <c r="AC9" s="36" t="str">
        <f t="shared" ca="1" si="3"/>
        <v>M</v>
      </c>
      <c r="AD9" s="36" t="str">
        <f t="shared" ca="1" si="3"/>
        <v>T</v>
      </c>
      <c r="AE9" s="36" t="str">
        <f t="shared" ca="1" si="3"/>
        <v>W</v>
      </c>
      <c r="AF9" s="36" t="str">
        <f t="shared" ca="1" si="3"/>
        <v>T</v>
      </c>
      <c r="AG9" s="36" t="str">
        <f t="shared" ca="1" si="3"/>
        <v>F</v>
      </c>
      <c r="AH9" s="36" t="str">
        <f t="shared" ca="1" si="3"/>
        <v>S</v>
      </c>
      <c r="AI9" s="36" t="str">
        <f t="shared" ca="1" si="3"/>
        <v>S</v>
      </c>
      <c r="AJ9" s="36" t="str">
        <f t="shared" ca="1" si="3"/>
        <v>M</v>
      </c>
      <c r="AK9" s="36" t="str">
        <f t="shared" ca="1" si="3"/>
        <v>T</v>
      </c>
      <c r="AL9" s="36" t="str">
        <f t="shared" ca="1" si="3"/>
        <v>W</v>
      </c>
      <c r="AM9" s="36" t="str">
        <f t="shared" ca="1" si="3"/>
        <v>T</v>
      </c>
      <c r="AN9" s="36" t="str">
        <f t="shared" ca="1" si="3"/>
        <v>F</v>
      </c>
      <c r="AO9" s="36" t="str">
        <f t="shared" ca="1" si="3"/>
        <v>S</v>
      </c>
      <c r="AP9" s="36" t="str">
        <f t="shared" ca="1" si="3"/>
        <v>S</v>
      </c>
      <c r="AQ9" s="36" t="str">
        <f t="shared" ca="1" si="3"/>
        <v>M</v>
      </c>
      <c r="AR9" s="36" t="str">
        <f t="shared" ca="1" si="3"/>
        <v>T</v>
      </c>
      <c r="AS9" s="36" t="str">
        <f t="shared" ca="1" si="3"/>
        <v>W</v>
      </c>
      <c r="AT9" s="36" t="str">
        <f t="shared" ca="1" si="3"/>
        <v>T</v>
      </c>
      <c r="AU9" s="36" t="str">
        <f t="shared" ca="1" si="3"/>
        <v>F</v>
      </c>
      <c r="AV9" s="36" t="str">
        <f t="shared" ca="1" si="3"/>
        <v>S</v>
      </c>
      <c r="AW9" s="36" t="str">
        <f t="shared" ca="1" si="3"/>
        <v>S</v>
      </c>
      <c r="AX9" s="36" t="str">
        <f t="shared" ca="1" si="3"/>
        <v>M</v>
      </c>
      <c r="AY9" s="36" t="str">
        <f t="shared" ca="1" si="3"/>
        <v>T</v>
      </c>
      <c r="AZ9" s="36" t="str">
        <f t="shared" ca="1" si="3"/>
        <v>W</v>
      </c>
      <c r="BA9" s="36" t="str">
        <f t="shared" ca="1" si="3"/>
        <v>T</v>
      </c>
      <c r="BB9" s="36" t="str">
        <f t="shared" ca="1" si="3"/>
        <v>F</v>
      </c>
      <c r="BC9" s="36" t="str">
        <f t="shared" ca="1" si="3"/>
        <v>S</v>
      </c>
      <c r="BD9" s="36" t="str">
        <f t="shared" ca="1" si="3"/>
        <v>S</v>
      </c>
      <c r="BE9" s="36" t="str">
        <f t="shared" ca="1" si="3"/>
        <v>M</v>
      </c>
      <c r="BF9" s="36" t="str">
        <f t="shared" ca="1" si="3"/>
        <v>T</v>
      </c>
      <c r="BG9" s="36" t="str">
        <f t="shared" ca="1" si="3"/>
        <v>W</v>
      </c>
      <c r="BH9" s="36" t="str">
        <f t="shared" ca="1" si="3"/>
        <v>T</v>
      </c>
      <c r="BI9" s="36" t="str">
        <f t="shared" ca="1" si="3"/>
        <v>F</v>
      </c>
      <c r="BJ9" s="36" t="str">
        <f t="shared" ca="1" si="3"/>
        <v>S</v>
      </c>
      <c r="BK9" s="36" t="str">
        <f t="shared" ca="1" si="3"/>
        <v>S</v>
      </c>
      <c r="BL9" s="36" t="str">
        <f t="shared" ca="1" si="3"/>
        <v>M</v>
      </c>
      <c r="BM9" s="31"/>
    </row>
    <row r="10" spans="1:68" ht="30" hidden="1" customHeight="1" thickBot="1" x14ac:dyDescent="0.25">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 customHeight="1" x14ac:dyDescent="0.2">
      <c r="A11" s="10"/>
      <c r="B11" s="118" t="s">
        <v>92</v>
      </c>
      <c r="C11" s="21"/>
      <c r="D11" s="21"/>
      <c r="E11" s="22"/>
      <c r="F11" s="23"/>
      <c r="G11" s="24"/>
      <c r="H11" s="19"/>
      <c r="I11" s="121" t="str">
        <f t="shared" ref="I11:X26" ca="1" si="4">IF(AND($C11="Goal",I$7&gt;=$F11,I$7&lt;=$F11+$G11-1),2,IF(AND($C11="Milestone",I$7&gt;=$F11,I$7&lt;=$F11+$G11-1),1,""))</f>
        <v/>
      </c>
      <c r="J11" s="122" t="str">
        <f t="shared" ca="1" si="4"/>
        <v/>
      </c>
      <c r="K11" s="122" t="str">
        <f t="shared" ca="1" si="4"/>
        <v/>
      </c>
      <c r="L11" s="122" t="str">
        <f t="shared" ca="1" si="4"/>
        <v/>
      </c>
      <c r="M11" s="122" t="str">
        <f t="shared" ca="1" si="4"/>
        <v/>
      </c>
      <c r="N11" s="122" t="str">
        <f t="shared" ca="1" si="4"/>
        <v/>
      </c>
      <c r="O11" s="122" t="str">
        <f t="shared" ca="1" si="4"/>
        <v/>
      </c>
      <c r="P11" s="122" t="str">
        <f t="shared" ca="1" si="4"/>
        <v/>
      </c>
      <c r="Q11" s="122" t="str">
        <f t="shared" ca="1" si="4"/>
        <v/>
      </c>
      <c r="R11" s="122" t="str">
        <f t="shared" ca="1" si="4"/>
        <v/>
      </c>
      <c r="S11" s="122" t="str">
        <f t="shared" ca="1" si="4"/>
        <v/>
      </c>
      <c r="T11" s="122" t="str">
        <f t="shared" ca="1" si="4"/>
        <v/>
      </c>
      <c r="U11" s="122" t="str">
        <f t="shared" ca="1" si="4"/>
        <v/>
      </c>
      <c r="V11" s="122" t="str">
        <f t="shared" ca="1" si="4"/>
        <v/>
      </c>
      <c r="W11" s="122" t="str">
        <f t="shared" ca="1" si="4"/>
        <v/>
      </c>
      <c r="X11" s="122" t="str">
        <f t="shared" ca="1" si="4"/>
        <v/>
      </c>
      <c r="Y11" s="122" t="str">
        <f t="shared" ref="Y11:AN26" ca="1" si="5">IF(AND($C11="Goal",Y$7&gt;=$F11,Y$7&lt;=$F11+$G11-1),2,IF(AND($C11="Milestone",Y$7&gt;=$F11,Y$7&lt;=$F11+$G11-1),1,""))</f>
        <v/>
      </c>
      <c r="Z11" s="122" t="str">
        <f t="shared" ca="1" si="5"/>
        <v/>
      </c>
      <c r="AA11" s="122" t="str">
        <f t="shared" ca="1" si="5"/>
        <v/>
      </c>
      <c r="AB11" s="122" t="str">
        <f t="shared" ca="1" si="5"/>
        <v/>
      </c>
      <c r="AC11" s="122" t="str">
        <f t="shared" ca="1" si="5"/>
        <v/>
      </c>
      <c r="AD11" s="122" t="str">
        <f t="shared" ca="1" si="5"/>
        <v/>
      </c>
      <c r="AE11" s="122" t="str">
        <f t="shared" ca="1" si="5"/>
        <v/>
      </c>
      <c r="AF11" s="122" t="str">
        <f t="shared" ca="1" si="5"/>
        <v/>
      </c>
      <c r="AG11" s="122" t="str">
        <f t="shared" ca="1" si="5"/>
        <v/>
      </c>
      <c r="AH11" s="122" t="str">
        <f t="shared" ca="1" si="5"/>
        <v/>
      </c>
      <c r="AI11" s="122" t="str">
        <f t="shared" ca="1" si="5"/>
        <v/>
      </c>
      <c r="AJ11" s="122" t="str">
        <f t="shared" ca="1" si="5"/>
        <v/>
      </c>
      <c r="AK11" s="122" t="str">
        <f t="shared" ca="1" si="5"/>
        <v/>
      </c>
      <c r="AL11" s="122" t="str">
        <f t="shared" ca="1" si="5"/>
        <v/>
      </c>
      <c r="AM11" s="122" t="str">
        <f t="shared" ca="1" si="5"/>
        <v/>
      </c>
      <c r="AN11" s="122" t="str">
        <f t="shared" ca="1" si="5"/>
        <v/>
      </c>
      <c r="AO11" s="122" t="str">
        <f t="shared" ref="AO11:BD26" ca="1" si="6">IF(AND($C11="Goal",AO$7&gt;=$F11,AO$7&lt;=$F11+$G11-1),2,IF(AND($C11="Milestone",AO$7&gt;=$F11,AO$7&lt;=$F11+$G11-1),1,""))</f>
        <v/>
      </c>
      <c r="AP11" s="122" t="str">
        <f t="shared" ca="1" si="6"/>
        <v/>
      </c>
      <c r="AQ11" s="122" t="str">
        <f t="shared" ca="1" si="6"/>
        <v/>
      </c>
      <c r="AR11" s="122" t="str">
        <f t="shared" ca="1" si="6"/>
        <v/>
      </c>
      <c r="AS11" s="122" t="str">
        <f t="shared" ca="1" si="6"/>
        <v/>
      </c>
      <c r="AT11" s="122" t="str">
        <f t="shared" ca="1" si="6"/>
        <v/>
      </c>
      <c r="AU11" s="122" t="str">
        <f t="shared" ca="1" si="6"/>
        <v/>
      </c>
      <c r="AV11" s="122" t="str">
        <f t="shared" ca="1" si="6"/>
        <v/>
      </c>
      <c r="AW11" s="122" t="str">
        <f t="shared" ca="1" si="6"/>
        <v/>
      </c>
      <c r="AX11" s="122" t="str">
        <f t="shared" ca="1" si="6"/>
        <v/>
      </c>
      <c r="AY11" s="122" t="str">
        <f t="shared" ca="1" si="6"/>
        <v/>
      </c>
      <c r="AZ11" s="122" t="str">
        <f t="shared" ca="1" si="6"/>
        <v/>
      </c>
      <c r="BA11" s="122" t="str">
        <f t="shared" ca="1" si="6"/>
        <v/>
      </c>
      <c r="BB11" s="122" t="str">
        <f t="shared" ca="1" si="6"/>
        <v/>
      </c>
      <c r="BC11" s="122" t="str">
        <f t="shared" ca="1" si="6"/>
        <v/>
      </c>
      <c r="BD11" s="122" t="str">
        <f t="shared" ca="1" si="6"/>
        <v/>
      </c>
      <c r="BE11" s="122" t="str">
        <f t="shared" ref="BE11:BL26" ca="1" si="7">IF(AND($C11="Goal",BE$7&gt;=$F11,BE$7&lt;=$F11+$G11-1),2,IF(AND($C11="Milestone",BE$7&gt;=$F11,BE$7&lt;=$F11+$G11-1),1,""))</f>
        <v/>
      </c>
      <c r="BF11" s="122" t="str">
        <f t="shared" ca="1" si="7"/>
        <v/>
      </c>
      <c r="BG11" s="122" t="str">
        <f t="shared" ca="1" si="7"/>
        <v/>
      </c>
      <c r="BH11" s="122" t="str">
        <f t="shared" ca="1" si="7"/>
        <v/>
      </c>
      <c r="BI11" s="122" t="str">
        <f t="shared" ca="1" si="7"/>
        <v/>
      </c>
      <c r="BJ11" s="122" t="str">
        <f t="shared" ca="1" si="7"/>
        <v/>
      </c>
      <c r="BK11" s="122" t="str">
        <f t="shared" ca="1" si="7"/>
        <v/>
      </c>
      <c r="BL11" s="122" t="str">
        <f t="shared" ca="1" si="7"/>
        <v/>
      </c>
      <c r="BM11" s="27"/>
      <c r="BP11" s="40"/>
    </row>
    <row r="12" spans="1:68" s="1" customFormat="1" ht="40" customHeight="1" x14ac:dyDescent="0.2">
      <c r="A12" s="10"/>
      <c r="B12" s="25" t="s">
        <v>93</v>
      </c>
      <c r="C12" s="21" t="s">
        <v>94</v>
      </c>
      <c r="D12" s="21" t="s">
        <v>95</v>
      </c>
      <c r="E12" s="22">
        <v>0.25</v>
      </c>
      <c r="F12" s="23">
        <f ca="1">TODAY()</f>
        <v>45981</v>
      </c>
      <c r="G12" s="24">
        <v>3</v>
      </c>
      <c r="H12" s="19"/>
      <c r="I12" s="121" t="str">
        <f ca="1">IF(AND($C12="Goal",I$7&gt;=$F12,I$7&lt;=$F12+$G12-1),2,IF(AND($C12="Milestone",I$7&gt;=$F12,I$7&lt;=$F12+$G12-1),1,""))</f>
        <v/>
      </c>
      <c r="J12" s="122" t="str">
        <f t="shared" ca="1" si="4"/>
        <v/>
      </c>
      <c r="K12" s="122" t="str">
        <f t="shared" ca="1" si="4"/>
        <v/>
      </c>
      <c r="L12" s="122" t="str">
        <f t="shared" ca="1" si="4"/>
        <v/>
      </c>
      <c r="M12" s="122" t="str">
        <f t="shared" ca="1" si="4"/>
        <v/>
      </c>
      <c r="N12" s="122" t="str">
        <f t="shared" ca="1" si="4"/>
        <v/>
      </c>
      <c r="O12" s="122" t="str">
        <f t="shared" ca="1" si="4"/>
        <v/>
      </c>
      <c r="P12" s="122" t="str">
        <f t="shared" ca="1" si="4"/>
        <v/>
      </c>
      <c r="Q12" s="122" t="str">
        <f t="shared" ca="1" si="4"/>
        <v/>
      </c>
      <c r="R12" s="122" t="str">
        <f t="shared" ca="1" si="4"/>
        <v/>
      </c>
      <c r="S12" s="122" t="str">
        <f t="shared" ca="1" si="4"/>
        <v/>
      </c>
      <c r="T12" s="122" t="str">
        <f t="shared" ca="1" si="4"/>
        <v/>
      </c>
      <c r="U12" s="122" t="str">
        <f t="shared" ca="1" si="4"/>
        <v/>
      </c>
      <c r="V12" s="122" t="str">
        <f t="shared" ca="1" si="4"/>
        <v/>
      </c>
      <c r="W12" s="122" t="str">
        <f t="shared" ca="1" si="4"/>
        <v/>
      </c>
      <c r="X12" s="122" t="str">
        <f t="shared" ca="1" si="4"/>
        <v/>
      </c>
      <c r="Y12" s="122" t="str">
        <f t="shared" ca="1" si="5"/>
        <v/>
      </c>
      <c r="Z12" s="122" t="str">
        <f t="shared" ca="1" si="5"/>
        <v/>
      </c>
      <c r="AA12" s="122" t="str">
        <f t="shared" ca="1" si="5"/>
        <v/>
      </c>
      <c r="AB12" s="122" t="str">
        <f t="shared" ca="1" si="5"/>
        <v/>
      </c>
      <c r="AC12" s="122" t="str">
        <f t="shared" ca="1" si="5"/>
        <v/>
      </c>
      <c r="AD12" s="122" t="str">
        <f t="shared" ca="1" si="5"/>
        <v/>
      </c>
      <c r="AE12" s="122" t="str">
        <f t="shared" ca="1" si="5"/>
        <v/>
      </c>
      <c r="AF12" s="122" t="str">
        <f t="shared" ca="1" si="5"/>
        <v/>
      </c>
      <c r="AG12" s="122" t="str">
        <f t="shared" ca="1" si="5"/>
        <v/>
      </c>
      <c r="AH12" s="122" t="str">
        <f t="shared" ca="1" si="5"/>
        <v/>
      </c>
      <c r="AI12" s="122" t="str">
        <f t="shared" ca="1" si="5"/>
        <v/>
      </c>
      <c r="AJ12" s="122" t="str">
        <f t="shared" ca="1" si="5"/>
        <v/>
      </c>
      <c r="AK12" s="122" t="str">
        <f t="shared" ca="1" si="5"/>
        <v/>
      </c>
      <c r="AL12" s="122" t="str">
        <f t="shared" ca="1" si="5"/>
        <v/>
      </c>
      <c r="AM12" s="122" t="str">
        <f t="shared" ca="1" si="5"/>
        <v/>
      </c>
      <c r="AN12" s="122" t="str">
        <f t="shared" ca="1" si="5"/>
        <v/>
      </c>
      <c r="AO12" s="122" t="str">
        <f t="shared" ca="1" si="6"/>
        <v/>
      </c>
      <c r="AP12" s="122" t="str">
        <f t="shared" ca="1" si="6"/>
        <v/>
      </c>
      <c r="AQ12" s="122" t="str">
        <f t="shared" ca="1" si="6"/>
        <v/>
      </c>
      <c r="AR12" s="122" t="str">
        <f t="shared" ca="1" si="6"/>
        <v/>
      </c>
      <c r="AS12" s="122" t="str">
        <f t="shared" ca="1" si="6"/>
        <v/>
      </c>
      <c r="AT12" s="122" t="str">
        <f t="shared" ca="1" si="6"/>
        <v/>
      </c>
      <c r="AU12" s="122" t="str">
        <f t="shared" ca="1" si="6"/>
        <v/>
      </c>
      <c r="AV12" s="122" t="str">
        <f t="shared" ca="1" si="6"/>
        <v/>
      </c>
      <c r="AW12" s="122" t="str">
        <f t="shared" ca="1" si="6"/>
        <v/>
      </c>
      <c r="AX12" s="122" t="str">
        <f t="shared" ca="1" si="6"/>
        <v/>
      </c>
      <c r="AY12" s="122" t="str">
        <f t="shared" ca="1" si="6"/>
        <v/>
      </c>
      <c r="AZ12" s="122" t="str">
        <f t="shared" ca="1" si="6"/>
        <v/>
      </c>
      <c r="BA12" s="122" t="str">
        <f t="shared" ca="1" si="6"/>
        <v/>
      </c>
      <c r="BB12" s="122" t="str">
        <f t="shared" ca="1" si="6"/>
        <v/>
      </c>
      <c r="BC12" s="122" t="str">
        <f t="shared" ca="1" si="6"/>
        <v/>
      </c>
      <c r="BD12" s="122" t="str">
        <f t="shared" ca="1" si="6"/>
        <v/>
      </c>
      <c r="BE12" s="122" t="str">
        <f t="shared" ca="1" si="7"/>
        <v/>
      </c>
      <c r="BF12" s="122" t="str">
        <f t="shared" ca="1" si="7"/>
        <v/>
      </c>
      <c r="BG12" s="122" t="str">
        <f t="shared" ca="1" si="7"/>
        <v/>
      </c>
      <c r="BH12" s="122" t="str">
        <f t="shared" ca="1" si="7"/>
        <v/>
      </c>
      <c r="BI12" s="122" t="str">
        <f t="shared" ca="1" si="7"/>
        <v/>
      </c>
      <c r="BJ12" s="122" t="str">
        <f t="shared" ca="1" si="7"/>
        <v/>
      </c>
      <c r="BK12" s="122" t="str">
        <f t="shared" ca="1" si="7"/>
        <v/>
      </c>
      <c r="BL12" s="122" t="str">
        <f t="shared" ca="1" si="7"/>
        <v/>
      </c>
      <c r="BM12" s="27"/>
    </row>
    <row r="13" spans="1:68" s="1" customFormat="1" ht="40" customHeight="1" x14ac:dyDescent="0.2">
      <c r="A13" s="10"/>
      <c r="B13" s="25" t="s">
        <v>96</v>
      </c>
      <c r="C13" s="21" t="s">
        <v>97</v>
      </c>
      <c r="D13" s="21"/>
      <c r="E13" s="22"/>
      <c r="F13" s="23">
        <f ca="1">TODAY()+5</f>
        <v>45986</v>
      </c>
      <c r="G13" s="24">
        <v>1</v>
      </c>
      <c r="H13" s="19"/>
      <c r="I13" s="121">
        <f t="shared" ref="I13:X28" ca="1" si="8">IF(AND($C13="Goal",I$7&gt;=$F13,I$7&lt;=$F13+$G13-1),2,IF(AND($C13="Milestone",I$7&gt;=$F13,I$7&lt;=$F13+$G13-1),1,""))</f>
        <v>1</v>
      </c>
      <c r="J13" s="122" t="str">
        <f t="shared" ca="1" si="4"/>
        <v/>
      </c>
      <c r="K13" s="122" t="str">
        <f t="shared" ca="1" si="4"/>
        <v/>
      </c>
      <c r="L13" s="122" t="str">
        <f t="shared" ca="1" si="4"/>
        <v/>
      </c>
      <c r="M13" s="122" t="str">
        <f t="shared" ca="1" si="4"/>
        <v/>
      </c>
      <c r="N13" s="122" t="str">
        <f t="shared" ca="1" si="4"/>
        <v/>
      </c>
      <c r="O13" s="122" t="str">
        <f t="shared" ca="1" si="4"/>
        <v/>
      </c>
      <c r="P13" s="122" t="str">
        <f t="shared" ca="1" si="4"/>
        <v/>
      </c>
      <c r="Q13" s="122" t="str">
        <f t="shared" ca="1" si="4"/>
        <v/>
      </c>
      <c r="R13" s="122" t="str">
        <f t="shared" ca="1" si="4"/>
        <v/>
      </c>
      <c r="S13" s="122" t="str">
        <f t="shared" ca="1" si="4"/>
        <v/>
      </c>
      <c r="T13" s="122" t="str">
        <f t="shared" ca="1" si="4"/>
        <v/>
      </c>
      <c r="U13" s="122" t="str">
        <f t="shared" ca="1" si="4"/>
        <v/>
      </c>
      <c r="V13" s="122" t="str">
        <f t="shared" ca="1" si="4"/>
        <v/>
      </c>
      <c r="W13" s="122" t="str">
        <f t="shared" ca="1" si="4"/>
        <v/>
      </c>
      <c r="X13" s="122" t="str">
        <f t="shared" ca="1" si="4"/>
        <v/>
      </c>
      <c r="Y13" s="122" t="str">
        <f t="shared" ca="1" si="5"/>
        <v/>
      </c>
      <c r="Z13" s="122" t="str">
        <f t="shared" ca="1" si="5"/>
        <v/>
      </c>
      <c r="AA13" s="122" t="str">
        <f t="shared" ca="1" si="5"/>
        <v/>
      </c>
      <c r="AB13" s="122" t="str">
        <f t="shared" ca="1" si="5"/>
        <v/>
      </c>
      <c r="AC13" s="122" t="str">
        <f t="shared" ca="1" si="5"/>
        <v/>
      </c>
      <c r="AD13" s="122" t="str">
        <f t="shared" ca="1" si="5"/>
        <v/>
      </c>
      <c r="AE13" s="122" t="str">
        <f t="shared" ca="1" si="5"/>
        <v/>
      </c>
      <c r="AF13" s="122" t="str">
        <f t="shared" ca="1" si="5"/>
        <v/>
      </c>
      <c r="AG13" s="122" t="str">
        <f t="shared" ca="1" si="5"/>
        <v/>
      </c>
      <c r="AH13" s="122" t="str">
        <f t="shared" ca="1" si="5"/>
        <v/>
      </c>
      <c r="AI13" s="122" t="str">
        <f t="shared" ca="1" si="5"/>
        <v/>
      </c>
      <c r="AJ13" s="122" t="str">
        <f t="shared" ca="1" si="5"/>
        <v/>
      </c>
      <c r="AK13" s="122" t="str">
        <f t="shared" ca="1" si="5"/>
        <v/>
      </c>
      <c r="AL13" s="122" t="str">
        <f t="shared" ca="1" si="5"/>
        <v/>
      </c>
      <c r="AM13" s="122" t="str">
        <f t="shared" ca="1" si="5"/>
        <v/>
      </c>
      <c r="AN13" s="122" t="str">
        <f t="shared" ca="1" si="5"/>
        <v/>
      </c>
      <c r="AO13" s="122" t="str">
        <f t="shared" ca="1" si="6"/>
        <v/>
      </c>
      <c r="AP13" s="122" t="str">
        <f t="shared" ca="1" si="6"/>
        <v/>
      </c>
      <c r="AQ13" s="122" t="str">
        <f t="shared" ca="1" si="6"/>
        <v/>
      </c>
      <c r="AR13" s="122" t="str">
        <f t="shared" ca="1" si="6"/>
        <v/>
      </c>
      <c r="AS13" s="122" t="str">
        <f t="shared" ca="1" si="6"/>
        <v/>
      </c>
      <c r="AT13" s="122" t="str">
        <f t="shared" ca="1" si="6"/>
        <v/>
      </c>
      <c r="AU13" s="122" t="str">
        <f t="shared" ca="1" si="6"/>
        <v/>
      </c>
      <c r="AV13" s="122" t="str">
        <f t="shared" ca="1" si="6"/>
        <v/>
      </c>
      <c r="AW13" s="122" t="str">
        <f t="shared" ca="1" si="6"/>
        <v/>
      </c>
      <c r="AX13" s="122" t="str">
        <f t="shared" ca="1" si="6"/>
        <v/>
      </c>
      <c r="AY13" s="122" t="str">
        <f t="shared" ca="1" si="6"/>
        <v/>
      </c>
      <c r="AZ13" s="122" t="str">
        <f t="shared" ca="1" si="6"/>
        <v/>
      </c>
      <c r="BA13" s="122" t="str">
        <f t="shared" ca="1" si="6"/>
        <v/>
      </c>
      <c r="BB13" s="122" t="str">
        <f t="shared" ca="1" si="6"/>
        <v/>
      </c>
      <c r="BC13" s="122" t="str">
        <f t="shared" ca="1" si="6"/>
        <v/>
      </c>
      <c r="BD13" s="122" t="str">
        <f t="shared" ca="1" si="6"/>
        <v/>
      </c>
      <c r="BE13" s="122" t="str">
        <f t="shared" ca="1" si="7"/>
        <v/>
      </c>
      <c r="BF13" s="122" t="str">
        <f t="shared" ca="1" si="7"/>
        <v/>
      </c>
      <c r="BG13" s="122" t="str">
        <f t="shared" ca="1" si="7"/>
        <v/>
      </c>
      <c r="BH13" s="122" t="str">
        <f t="shared" ca="1" si="7"/>
        <v/>
      </c>
      <c r="BI13" s="122" t="str">
        <f t="shared" ca="1" si="7"/>
        <v/>
      </c>
      <c r="BJ13" s="122" t="str">
        <f t="shared" ca="1" si="7"/>
        <v/>
      </c>
      <c r="BK13" s="122" t="str">
        <f t="shared" ca="1" si="7"/>
        <v/>
      </c>
      <c r="BL13" s="122" t="str">
        <f t="shared" ca="1" si="7"/>
        <v/>
      </c>
      <c r="BM13" s="27"/>
    </row>
    <row r="14" spans="1:68" s="1" customFormat="1" ht="40" customHeight="1" x14ac:dyDescent="0.2">
      <c r="A14" s="9"/>
      <c r="B14" s="25" t="s">
        <v>98</v>
      </c>
      <c r="C14" s="21" t="s">
        <v>23</v>
      </c>
      <c r="D14" s="21"/>
      <c r="E14" s="22">
        <v>0.5</v>
      </c>
      <c r="F14" s="23">
        <f ca="1">F12-3</f>
        <v>45978</v>
      </c>
      <c r="G14" s="24">
        <v>10</v>
      </c>
      <c r="H14" s="19"/>
      <c r="I14" s="121" t="str">
        <f t="shared" ca="1" si="8"/>
        <v/>
      </c>
      <c r="J14" s="122" t="str">
        <f t="shared" ca="1" si="4"/>
        <v/>
      </c>
      <c r="K14" s="122" t="str">
        <f t="shared" ca="1" si="4"/>
        <v/>
      </c>
      <c r="L14" s="122" t="str">
        <f t="shared" ca="1" si="4"/>
        <v/>
      </c>
      <c r="M14" s="122" t="str">
        <f t="shared" ca="1" si="4"/>
        <v/>
      </c>
      <c r="N14" s="122" t="str">
        <f t="shared" ca="1" si="4"/>
        <v/>
      </c>
      <c r="O14" s="122" t="str">
        <f t="shared" ca="1" si="4"/>
        <v/>
      </c>
      <c r="P14" s="122" t="str">
        <f t="shared" ca="1" si="4"/>
        <v/>
      </c>
      <c r="Q14" s="122" t="str">
        <f t="shared" ca="1" si="4"/>
        <v/>
      </c>
      <c r="R14" s="122" t="str">
        <f t="shared" ca="1" si="4"/>
        <v/>
      </c>
      <c r="S14" s="122" t="str">
        <f t="shared" ca="1" si="4"/>
        <v/>
      </c>
      <c r="T14" s="122" t="str">
        <f t="shared" ca="1" si="4"/>
        <v/>
      </c>
      <c r="U14" s="122" t="str">
        <f t="shared" ca="1" si="4"/>
        <v/>
      </c>
      <c r="V14" s="122" t="str">
        <f t="shared" ca="1" si="4"/>
        <v/>
      </c>
      <c r="W14" s="122" t="str">
        <f t="shared" ca="1" si="4"/>
        <v/>
      </c>
      <c r="X14" s="122" t="str">
        <f t="shared" ca="1" si="4"/>
        <v/>
      </c>
      <c r="Y14" s="122" t="str">
        <f t="shared" ca="1" si="5"/>
        <v/>
      </c>
      <c r="Z14" s="122" t="str">
        <f t="shared" ca="1" si="5"/>
        <v/>
      </c>
      <c r="AA14" s="122" t="str">
        <f t="shared" ca="1" si="5"/>
        <v/>
      </c>
      <c r="AB14" s="122" t="str">
        <f t="shared" ca="1" si="5"/>
        <v/>
      </c>
      <c r="AC14" s="122" t="str">
        <f t="shared" ca="1" si="5"/>
        <v/>
      </c>
      <c r="AD14" s="122" t="str">
        <f t="shared" ca="1" si="5"/>
        <v/>
      </c>
      <c r="AE14" s="122" t="str">
        <f t="shared" ca="1" si="5"/>
        <v/>
      </c>
      <c r="AF14" s="122" t="str">
        <f t="shared" ca="1" si="5"/>
        <v/>
      </c>
      <c r="AG14" s="122" t="str">
        <f t="shared" ca="1" si="5"/>
        <v/>
      </c>
      <c r="AH14" s="122" t="str">
        <f t="shared" ca="1" si="5"/>
        <v/>
      </c>
      <c r="AI14" s="122" t="str">
        <f t="shared" ca="1" si="5"/>
        <v/>
      </c>
      <c r="AJ14" s="122" t="str">
        <f t="shared" ca="1" si="5"/>
        <v/>
      </c>
      <c r="AK14" s="122" t="str">
        <f t="shared" ca="1" si="5"/>
        <v/>
      </c>
      <c r="AL14" s="122" t="str">
        <f t="shared" ca="1" si="5"/>
        <v/>
      </c>
      <c r="AM14" s="122" t="str">
        <f t="shared" ca="1" si="5"/>
        <v/>
      </c>
      <c r="AN14" s="122" t="str">
        <f t="shared" ca="1" si="5"/>
        <v/>
      </c>
      <c r="AO14" s="122" t="str">
        <f t="shared" ca="1" si="6"/>
        <v/>
      </c>
      <c r="AP14" s="122" t="str">
        <f t="shared" ca="1" si="6"/>
        <v/>
      </c>
      <c r="AQ14" s="122" t="str">
        <f t="shared" ca="1" si="6"/>
        <v/>
      </c>
      <c r="AR14" s="122" t="str">
        <f t="shared" ca="1" si="6"/>
        <v/>
      </c>
      <c r="AS14" s="122" t="str">
        <f t="shared" ca="1" si="6"/>
        <v/>
      </c>
      <c r="AT14" s="122" t="str">
        <f t="shared" ca="1" si="6"/>
        <v/>
      </c>
      <c r="AU14" s="122" t="str">
        <f t="shared" ca="1" si="6"/>
        <v/>
      </c>
      <c r="AV14" s="122" t="str">
        <f t="shared" ca="1" si="6"/>
        <v/>
      </c>
      <c r="AW14" s="122" t="str">
        <f t="shared" ca="1" si="6"/>
        <v/>
      </c>
      <c r="AX14" s="122" t="str">
        <f t="shared" ca="1" si="6"/>
        <v/>
      </c>
      <c r="AY14" s="122" t="str">
        <f t="shared" ca="1" si="6"/>
        <v/>
      </c>
      <c r="AZ14" s="122" t="str">
        <f t="shared" ca="1" si="6"/>
        <v/>
      </c>
      <c r="BA14" s="122" t="str">
        <f t="shared" ca="1" si="6"/>
        <v/>
      </c>
      <c r="BB14" s="122" t="str">
        <f t="shared" ca="1" si="6"/>
        <v/>
      </c>
      <c r="BC14" s="122" t="str">
        <f t="shared" ca="1" si="6"/>
        <v/>
      </c>
      <c r="BD14" s="122" t="str">
        <f t="shared" ca="1" si="6"/>
        <v/>
      </c>
      <c r="BE14" s="122" t="str">
        <f t="shared" ca="1" si="7"/>
        <v/>
      </c>
      <c r="BF14" s="122" t="str">
        <f t="shared" ca="1" si="7"/>
        <v/>
      </c>
      <c r="BG14" s="122" t="str">
        <f t="shared" ca="1" si="7"/>
        <v/>
      </c>
      <c r="BH14" s="122" t="str">
        <f t="shared" ca="1" si="7"/>
        <v/>
      </c>
      <c r="BI14" s="122" t="str">
        <f t="shared" ca="1" si="7"/>
        <v/>
      </c>
      <c r="BJ14" s="122" t="str">
        <f t="shared" ca="1" si="7"/>
        <v/>
      </c>
      <c r="BK14" s="122" t="str">
        <f t="shared" ca="1" si="7"/>
        <v/>
      </c>
      <c r="BL14" s="122" t="str">
        <f t="shared" ca="1" si="7"/>
        <v/>
      </c>
      <c r="BM14" s="27"/>
    </row>
    <row r="15" spans="1:68" s="1" customFormat="1" ht="40" customHeight="1" x14ac:dyDescent="0.2">
      <c r="A15" s="9"/>
      <c r="B15" s="25" t="s">
        <v>99</v>
      </c>
      <c r="C15" s="21" t="s">
        <v>97</v>
      </c>
      <c r="D15" s="21"/>
      <c r="E15" s="22"/>
      <c r="F15" s="23">
        <f ca="1">F12+20</f>
        <v>46001</v>
      </c>
      <c r="G15" s="24">
        <v>1</v>
      </c>
      <c r="H15" s="19"/>
      <c r="I15" s="121" t="str">
        <f t="shared" ca="1" si="8"/>
        <v/>
      </c>
      <c r="J15" s="122" t="str">
        <f t="shared" ca="1" si="4"/>
        <v/>
      </c>
      <c r="K15" s="122" t="str">
        <f t="shared" ca="1" si="4"/>
        <v/>
      </c>
      <c r="L15" s="122" t="str">
        <f t="shared" ca="1" si="4"/>
        <v/>
      </c>
      <c r="M15" s="122" t="str">
        <f t="shared" ca="1" si="4"/>
        <v/>
      </c>
      <c r="N15" s="122" t="str">
        <f t="shared" ca="1" si="4"/>
        <v/>
      </c>
      <c r="O15" s="122" t="str">
        <f t="shared" ca="1" si="4"/>
        <v/>
      </c>
      <c r="P15" s="122" t="str">
        <f t="shared" ca="1" si="4"/>
        <v/>
      </c>
      <c r="Q15" s="122" t="str">
        <f t="shared" ca="1" si="4"/>
        <v/>
      </c>
      <c r="R15" s="122" t="str">
        <f t="shared" ca="1" si="4"/>
        <v/>
      </c>
      <c r="S15" s="122" t="str">
        <f t="shared" ca="1" si="4"/>
        <v/>
      </c>
      <c r="T15" s="122" t="str">
        <f t="shared" ca="1" si="4"/>
        <v/>
      </c>
      <c r="U15" s="122" t="str">
        <f t="shared" ca="1" si="4"/>
        <v/>
      </c>
      <c r="V15" s="122" t="str">
        <f t="shared" ca="1" si="4"/>
        <v/>
      </c>
      <c r="W15" s="122" t="str">
        <f t="shared" ca="1" si="4"/>
        <v/>
      </c>
      <c r="X15" s="122">
        <f t="shared" ca="1" si="4"/>
        <v>1</v>
      </c>
      <c r="Y15" s="122" t="str">
        <f t="shared" ca="1" si="5"/>
        <v/>
      </c>
      <c r="Z15" s="122" t="str">
        <f t="shared" ca="1" si="5"/>
        <v/>
      </c>
      <c r="AA15" s="122" t="str">
        <f t="shared" ca="1" si="5"/>
        <v/>
      </c>
      <c r="AB15" s="122" t="str">
        <f t="shared" ca="1" si="5"/>
        <v/>
      </c>
      <c r="AC15" s="122" t="str">
        <f t="shared" ca="1" si="5"/>
        <v/>
      </c>
      <c r="AD15" s="122" t="str">
        <f t="shared" ca="1" si="5"/>
        <v/>
      </c>
      <c r="AE15" s="122" t="str">
        <f t="shared" ca="1" si="5"/>
        <v/>
      </c>
      <c r="AF15" s="122" t="str">
        <f t="shared" ca="1" si="5"/>
        <v/>
      </c>
      <c r="AG15" s="122" t="str">
        <f t="shared" ca="1" si="5"/>
        <v/>
      </c>
      <c r="AH15" s="122" t="str">
        <f t="shared" ca="1" si="5"/>
        <v/>
      </c>
      <c r="AI15" s="122" t="str">
        <f t="shared" ca="1" si="5"/>
        <v/>
      </c>
      <c r="AJ15" s="122" t="str">
        <f t="shared" ca="1" si="5"/>
        <v/>
      </c>
      <c r="AK15" s="122" t="str">
        <f t="shared" ca="1" si="5"/>
        <v/>
      </c>
      <c r="AL15" s="122" t="str">
        <f t="shared" ca="1" si="5"/>
        <v/>
      </c>
      <c r="AM15" s="122" t="str">
        <f t="shared" ca="1" si="5"/>
        <v/>
      </c>
      <c r="AN15" s="122" t="str">
        <f t="shared" ca="1" si="5"/>
        <v/>
      </c>
      <c r="AO15" s="122" t="str">
        <f t="shared" ca="1" si="6"/>
        <v/>
      </c>
      <c r="AP15" s="122" t="str">
        <f t="shared" ca="1" si="6"/>
        <v/>
      </c>
      <c r="AQ15" s="122" t="str">
        <f t="shared" ca="1" si="6"/>
        <v/>
      </c>
      <c r="AR15" s="122" t="str">
        <f t="shared" ca="1" si="6"/>
        <v/>
      </c>
      <c r="AS15" s="122" t="str">
        <f t="shared" ca="1" si="6"/>
        <v/>
      </c>
      <c r="AT15" s="122" t="str">
        <f t="shared" ca="1" si="6"/>
        <v/>
      </c>
      <c r="AU15" s="122" t="str">
        <f t="shared" ca="1" si="6"/>
        <v/>
      </c>
      <c r="AV15" s="122" t="str">
        <f t="shared" ca="1" si="6"/>
        <v/>
      </c>
      <c r="AW15" s="122" t="str">
        <f t="shared" ca="1" si="6"/>
        <v/>
      </c>
      <c r="AX15" s="122" t="str">
        <f t="shared" ca="1" si="6"/>
        <v/>
      </c>
      <c r="AY15" s="122" t="str">
        <f t="shared" ca="1" si="6"/>
        <v/>
      </c>
      <c r="AZ15" s="122" t="str">
        <f t="shared" ca="1" si="6"/>
        <v/>
      </c>
      <c r="BA15" s="122" t="str">
        <f t="shared" ca="1" si="6"/>
        <v/>
      </c>
      <c r="BB15" s="122" t="str">
        <f t="shared" ca="1" si="6"/>
        <v/>
      </c>
      <c r="BC15" s="122" t="str">
        <f t="shared" ca="1" si="6"/>
        <v/>
      </c>
      <c r="BD15" s="122" t="str">
        <f t="shared" ca="1" si="6"/>
        <v/>
      </c>
      <c r="BE15" s="122" t="str">
        <f t="shared" ca="1" si="7"/>
        <v/>
      </c>
      <c r="BF15" s="122" t="str">
        <f t="shared" ca="1" si="7"/>
        <v/>
      </c>
      <c r="BG15" s="122" t="str">
        <f t="shared" ca="1" si="7"/>
        <v/>
      </c>
      <c r="BH15" s="122" t="str">
        <f t="shared" ca="1" si="7"/>
        <v/>
      </c>
      <c r="BI15" s="122" t="str">
        <f t="shared" ca="1" si="7"/>
        <v/>
      </c>
      <c r="BJ15" s="122" t="str">
        <f t="shared" ca="1" si="7"/>
        <v/>
      </c>
      <c r="BK15" s="122" t="str">
        <f t="shared" ca="1" si="7"/>
        <v/>
      </c>
      <c r="BL15" s="122" t="str">
        <f t="shared" ca="1" si="7"/>
        <v/>
      </c>
      <c r="BM15" s="27"/>
    </row>
    <row r="16" spans="1:68" s="1" customFormat="1" ht="40" customHeight="1" x14ac:dyDescent="0.2">
      <c r="A16" s="9"/>
      <c r="B16" s="25" t="s">
        <v>100</v>
      </c>
      <c r="C16" s="21" t="s">
        <v>20</v>
      </c>
      <c r="D16" s="21"/>
      <c r="E16" s="22">
        <v>0.1</v>
      </c>
      <c r="F16" s="23">
        <f ca="1">F12+6</f>
        <v>45987</v>
      </c>
      <c r="G16" s="24">
        <v>6</v>
      </c>
      <c r="H16" s="19"/>
      <c r="I16" s="121" t="str">
        <f t="shared" ca="1" si="8"/>
        <v/>
      </c>
      <c r="J16" s="122" t="str">
        <f t="shared" ca="1" si="4"/>
        <v/>
      </c>
      <c r="K16" s="122" t="str">
        <f t="shared" ca="1" si="4"/>
        <v/>
      </c>
      <c r="L16" s="122" t="str">
        <f t="shared" ca="1" si="4"/>
        <v/>
      </c>
      <c r="M16" s="122" t="str">
        <f t="shared" ca="1" si="4"/>
        <v/>
      </c>
      <c r="N16" s="122" t="str">
        <f t="shared" ca="1" si="4"/>
        <v/>
      </c>
      <c r="O16" s="122" t="str">
        <f t="shared" ca="1" si="4"/>
        <v/>
      </c>
      <c r="P16" s="122" t="str">
        <f t="shared" ca="1" si="4"/>
        <v/>
      </c>
      <c r="Q16" s="122" t="str">
        <f t="shared" ca="1" si="4"/>
        <v/>
      </c>
      <c r="R16" s="122" t="str">
        <f t="shared" ca="1" si="4"/>
        <v/>
      </c>
      <c r="S16" s="122" t="str">
        <f t="shared" ca="1" si="4"/>
        <v/>
      </c>
      <c r="T16" s="122" t="str">
        <f t="shared" ca="1" si="4"/>
        <v/>
      </c>
      <c r="U16" s="122" t="str">
        <f t="shared" ca="1" si="4"/>
        <v/>
      </c>
      <c r="V16" s="122" t="str">
        <f t="shared" ca="1" si="4"/>
        <v/>
      </c>
      <c r="W16" s="122" t="str">
        <f t="shared" ca="1" si="4"/>
        <v/>
      </c>
      <c r="X16" s="122" t="str">
        <f t="shared" ca="1" si="4"/>
        <v/>
      </c>
      <c r="Y16" s="122" t="str">
        <f t="shared" ca="1" si="5"/>
        <v/>
      </c>
      <c r="Z16" s="122" t="str">
        <f t="shared" ca="1" si="5"/>
        <v/>
      </c>
      <c r="AA16" s="122" t="str">
        <f t="shared" ca="1" si="5"/>
        <v/>
      </c>
      <c r="AB16" s="122" t="str">
        <f t="shared" ca="1" si="5"/>
        <v/>
      </c>
      <c r="AC16" s="122" t="str">
        <f t="shared" ca="1" si="5"/>
        <v/>
      </c>
      <c r="AD16" s="122" t="str">
        <f t="shared" ca="1" si="5"/>
        <v/>
      </c>
      <c r="AE16" s="122" t="str">
        <f t="shared" ca="1" si="5"/>
        <v/>
      </c>
      <c r="AF16" s="122" t="str">
        <f t="shared" ca="1" si="5"/>
        <v/>
      </c>
      <c r="AG16" s="122" t="str">
        <f t="shared" ca="1" si="5"/>
        <v/>
      </c>
      <c r="AH16" s="122" t="str">
        <f t="shared" ca="1" si="5"/>
        <v/>
      </c>
      <c r="AI16" s="122" t="str">
        <f t="shared" ca="1" si="5"/>
        <v/>
      </c>
      <c r="AJ16" s="122" t="str">
        <f t="shared" ca="1" si="5"/>
        <v/>
      </c>
      <c r="AK16" s="122" t="str">
        <f t="shared" ca="1" si="5"/>
        <v/>
      </c>
      <c r="AL16" s="122" t="str">
        <f t="shared" ca="1" si="5"/>
        <v/>
      </c>
      <c r="AM16" s="122" t="str">
        <f t="shared" ca="1" si="5"/>
        <v/>
      </c>
      <c r="AN16" s="122" t="str">
        <f t="shared" ca="1" si="5"/>
        <v/>
      </c>
      <c r="AO16" s="122" t="str">
        <f t="shared" ca="1" si="6"/>
        <v/>
      </c>
      <c r="AP16" s="122" t="str">
        <f t="shared" ca="1" si="6"/>
        <v/>
      </c>
      <c r="AQ16" s="122" t="str">
        <f t="shared" ca="1" si="6"/>
        <v/>
      </c>
      <c r="AR16" s="122" t="str">
        <f t="shared" ca="1" si="6"/>
        <v/>
      </c>
      <c r="AS16" s="122" t="str">
        <f t="shared" ca="1" si="6"/>
        <v/>
      </c>
      <c r="AT16" s="122" t="str">
        <f t="shared" ca="1" si="6"/>
        <v/>
      </c>
      <c r="AU16" s="122" t="str">
        <f t="shared" ca="1" si="6"/>
        <v/>
      </c>
      <c r="AV16" s="122" t="str">
        <f t="shared" ca="1" si="6"/>
        <v/>
      </c>
      <c r="AW16" s="122" t="str">
        <f t="shared" ca="1" si="6"/>
        <v/>
      </c>
      <c r="AX16" s="122" t="str">
        <f t="shared" ca="1" si="6"/>
        <v/>
      </c>
      <c r="AY16" s="122" t="str">
        <f t="shared" ca="1" si="6"/>
        <v/>
      </c>
      <c r="AZ16" s="122" t="str">
        <f t="shared" ca="1" si="6"/>
        <v/>
      </c>
      <c r="BA16" s="122" t="str">
        <f t="shared" ca="1" si="6"/>
        <v/>
      </c>
      <c r="BB16" s="122" t="str">
        <f t="shared" ca="1" si="6"/>
        <v/>
      </c>
      <c r="BC16" s="122" t="str">
        <f t="shared" ca="1" si="6"/>
        <v/>
      </c>
      <c r="BD16" s="122" t="str">
        <f t="shared" ca="1" si="6"/>
        <v/>
      </c>
      <c r="BE16" s="122" t="str">
        <f t="shared" ca="1" si="7"/>
        <v/>
      </c>
      <c r="BF16" s="122" t="str">
        <f t="shared" ca="1" si="7"/>
        <v/>
      </c>
      <c r="BG16" s="122" t="str">
        <f t="shared" ca="1" si="7"/>
        <v/>
      </c>
      <c r="BH16" s="122" t="str">
        <f t="shared" ca="1" si="7"/>
        <v/>
      </c>
      <c r="BI16" s="122" t="str">
        <f t="shared" ca="1" si="7"/>
        <v/>
      </c>
      <c r="BJ16" s="122" t="str">
        <f t="shared" ca="1" si="7"/>
        <v/>
      </c>
      <c r="BK16" s="122" t="str">
        <f t="shared" ca="1" si="7"/>
        <v/>
      </c>
      <c r="BL16" s="122" t="str">
        <f t="shared" ca="1" si="7"/>
        <v/>
      </c>
      <c r="BM16" s="27"/>
    </row>
    <row r="17" spans="1:65" s="1" customFormat="1" ht="40" customHeight="1" x14ac:dyDescent="0.2">
      <c r="A17" s="10"/>
      <c r="B17" s="118" t="s">
        <v>101</v>
      </c>
      <c r="C17" s="21"/>
      <c r="D17" s="21"/>
      <c r="E17" s="22"/>
      <c r="F17" s="23"/>
      <c r="G17" s="24"/>
      <c r="H17" s="19"/>
      <c r="I17" s="121" t="str">
        <f t="shared" ca="1" si="8"/>
        <v/>
      </c>
      <c r="J17" s="122" t="str">
        <f t="shared" ca="1" si="4"/>
        <v/>
      </c>
      <c r="K17" s="122" t="str">
        <f t="shared" ca="1" si="4"/>
        <v/>
      </c>
      <c r="L17" s="122" t="str">
        <f t="shared" ca="1" si="4"/>
        <v/>
      </c>
      <c r="M17" s="122" t="str">
        <f t="shared" ca="1" si="4"/>
        <v/>
      </c>
      <c r="N17" s="122" t="str">
        <f t="shared" ca="1" si="4"/>
        <v/>
      </c>
      <c r="O17" s="122" t="str">
        <f t="shared" ca="1" si="4"/>
        <v/>
      </c>
      <c r="P17" s="122" t="str">
        <f t="shared" ca="1" si="4"/>
        <v/>
      </c>
      <c r="Q17" s="122" t="str">
        <f t="shared" ca="1" si="4"/>
        <v/>
      </c>
      <c r="R17" s="122" t="str">
        <f t="shared" ca="1" si="4"/>
        <v/>
      </c>
      <c r="S17" s="122" t="str">
        <f t="shared" ca="1" si="4"/>
        <v/>
      </c>
      <c r="T17" s="122" t="str">
        <f t="shared" ca="1" si="4"/>
        <v/>
      </c>
      <c r="U17" s="122" t="str">
        <f t="shared" ca="1" si="4"/>
        <v/>
      </c>
      <c r="V17" s="122" t="str">
        <f t="shared" ca="1" si="4"/>
        <v/>
      </c>
      <c r="W17" s="122" t="str">
        <f t="shared" ca="1" si="4"/>
        <v/>
      </c>
      <c r="X17" s="122" t="str">
        <f t="shared" ca="1" si="4"/>
        <v/>
      </c>
      <c r="Y17" s="122" t="str">
        <f t="shared" ca="1" si="5"/>
        <v/>
      </c>
      <c r="Z17" s="122" t="str">
        <f t="shared" ca="1" si="5"/>
        <v/>
      </c>
      <c r="AA17" s="122" t="str">
        <f t="shared" ca="1" si="5"/>
        <v/>
      </c>
      <c r="AB17" s="122" t="str">
        <f t="shared" ca="1" si="5"/>
        <v/>
      </c>
      <c r="AC17" s="122" t="str">
        <f t="shared" ca="1" si="5"/>
        <v/>
      </c>
      <c r="AD17" s="122" t="str">
        <f t="shared" ca="1" si="5"/>
        <v/>
      </c>
      <c r="AE17" s="122" t="str">
        <f t="shared" ca="1" si="5"/>
        <v/>
      </c>
      <c r="AF17" s="122" t="str">
        <f t="shared" ca="1" si="5"/>
        <v/>
      </c>
      <c r="AG17" s="122" t="str">
        <f t="shared" ca="1" si="5"/>
        <v/>
      </c>
      <c r="AH17" s="122" t="str">
        <f t="shared" ca="1" si="5"/>
        <v/>
      </c>
      <c r="AI17" s="122" t="str">
        <f t="shared" ca="1" si="5"/>
        <v/>
      </c>
      <c r="AJ17" s="122" t="str">
        <f t="shared" ca="1" si="5"/>
        <v/>
      </c>
      <c r="AK17" s="122" t="str">
        <f t="shared" ca="1" si="5"/>
        <v/>
      </c>
      <c r="AL17" s="122" t="str">
        <f t="shared" ca="1" si="5"/>
        <v/>
      </c>
      <c r="AM17" s="122" t="str">
        <f t="shared" ca="1" si="5"/>
        <v/>
      </c>
      <c r="AN17" s="122" t="str">
        <f t="shared" ca="1" si="5"/>
        <v/>
      </c>
      <c r="AO17" s="122" t="str">
        <f t="shared" ca="1" si="6"/>
        <v/>
      </c>
      <c r="AP17" s="122" t="str">
        <f t="shared" ca="1" si="6"/>
        <v/>
      </c>
      <c r="AQ17" s="122" t="str">
        <f t="shared" ca="1" si="6"/>
        <v/>
      </c>
      <c r="AR17" s="122" t="str">
        <f t="shared" ca="1" si="6"/>
        <v/>
      </c>
      <c r="AS17" s="122" t="str">
        <f t="shared" ca="1" si="6"/>
        <v/>
      </c>
      <c r="AT17" s="122" t="str">
        <f t="shared" ca="1" si="6"/>
        <v/>
      </c>
      <c r="AU17" s="122" t="str">
        <f t="shared" ca="1" si="6"/>
        <v/>
      </c>
      <c r="AV17" s="122" t="str">
        <f t="shared" ca="1" si="6"/>
        <v/>
      </c>
      <c r="AW17" s="122" t="str">
        <f t="shared" ca="1" si="6"/>
        <v/>
      </c>
      <c r="AX17" s="122" t="str">
        <f t="shared" ca="1" si="6"/>
        <v/>
      </c>
      <c r="AY17" s="122" t="str">
        <f t="shared" ca="1" si="6"/>
        <v/>
      </c>
      <c r="AZ17" s="122" t="str">
        <f t="shared" ca="1" si="6"/>
        <v/>
      </c>
      <c r="BA17" s="122" t="str">
        <f t="shared" ca="1" si="6"/>
        <v/>
      </c>
      <c r="BB17" s="122" t="str">
        <f t="shared" ca="1" si="6"/>
        <v/>
      </c>
      <c r="BC17" s="122" t="str">
        <f t="shared" ca="1" si="6"/>
        <v/>
      </c>
      <c r="BD17" s="122" t="str">
        <f t="shared" ca="1" si="6"/>
        <v/>
      </c>
      <c r="BE17" s="122" t="str">
        <f t="shared" ca="1" si="7"/>
        <v/>
      </c>
      <c r="BF17" s="122" t="str">
        <f t="shared" ca="1" si="7"/>
        <v/>
      </c>
      <c r="BG17" s="122" t="str">
        <f t="shared" ca="1" si="7"/>
        <v/>
      </c>
      <c r="BH17" s="122" t="str">
        <f t="shared" ca="1" si="7"/>
        <v/>
      </c>
      <c r="BI17" s="122" t="str">
        <f t="shared" ca="1" si="7"/>
        <v/>
      </c>
      <c r="BJ17" s="122" t="str">
        <f t="shared" ca="1" si="7"/>
        <v/>
      </c>
      <c r="BK17" s="122" t="str">
        <f t="shared" ca="1" si="7"/>
        <v/>
      </c>
      <c r="BL17" s="122" t="str">
        <f t="shared" ca="1" si="7"/>
        <v/>
      </c>
      <c r="BM17" s="27"/>
    </row>
    <row r="18" spans="1:65" s="1" customFormat="1" ht="40" customHeight="1" x14ac:dyDescent="0.2">
      <c r="A18" s="10"/>
      <c r="B18" s="25" t="s">
        <v>93</v>
      </c>
      <c r="C18" s="21" t="s">
        <v>35</v>
      </c>
      <c r="D18" s="21"/>
      <c r="E18" s="22">
        <v>0.6</v>
      </c>
      <c r="F18" s="23">
        <f ca="1">F12+6</f>
        <v>45987</v>
      </c>
      <c r="G18" s="24">
        <v>13</v>
      </c>
      <c r="H18" s="19"/>
      <c r="I18" s="121" t="str">
        <f t="shared" ca="1" si="8"/>
        <v/>
      </c>
      <c r="J18" s="122" t="str">
        <f t="shared" ca="1" si="4"/>
        <v/>
      </c>
      <c r="K18" s="122" t="str">
        <f t="shared" ca="1" si="4"/>
        <v/>
      </c>
      <c r="L18" s="122" t="str">
        <f t="shared" ca="1" si="4"/>
        <v/>
      </c>
      <c r="M18" s="122" t="str">
        <f t="shared" ca="1" si="4"/>
        <v/>
      </c>
      <c r="N18" s="122" t="str">
        <f t="shared" ca="1" si="4"/>
        <v/>
      </c>
      <c r="O18" s="122" t="str">
        <f t="shared" ca="1" si="4"/>
        <v/>
      </c>
      <c r="P18" s="122" t="str">
        <f t="shared" ca="1" si="4"/>
        <v/>
      </c>
      <c r="Q18" s="122" t="str">
        <f t="shared" ca="1" si="4"/>
        <v/>
      </c>
      <c r="R18" s="122" t="str">
        <f t="shared" ca="1" si="4"/>
        <v/>
      </c>
      <c r="S18" s="122" t="str">
        <f t="shared" ca="1" si="4"/>
        <v/>
      </c>
      <c r="T18" s="122" t="str">
        <f t="shared" ca="1" si="4"/>
        <v/>
      </c>
      <c r="U18" s="122" t="str">
        <f t="shared" ca="1" si="4"/>
        <v/>
      </c>
      <c r="V18" s="122" t="str">
        <f t="shared" ca="1" si="4"/>
        <v/>
      </c>
      <c r="W18" s="122" t="str">
        <f t="shared" ca="1" si="4"/>
        <v/>
      </c>
      <c r="X18" s="122" t="str">
        <f t="shared" ca="1" si="4"/>
        <v/>
      </c>
      <c r="Y18" s="122" t="str">
        <f t="shared" ca="1" si="5"/>
        <v/>
      </c>
      <c r="Z18" s="122" t="str">
        <f t="shared" ca="1" si="5"/>
        <v/>
      </c>
      <c r="AA18" s="122" t="str">
        <f t="shared" ca="1" si="5"/>
        <v/>
      </c>
      <c r="AB18" s="122" t="str">
        <f t="shared" ca="1" si="5"/>
        <v/>
      </c>
      <c r="AC18" s="122" t="str">
        <f t="shared" ca="1" si="5"/>
        <v/>
      </c>
      <c r="AD18" s="122" t="str">
        <f t="shared" ca="1" si="5"/>
        <v/>
      </c>
      <c r="AE18" s="122" t="str">
        <f t="shared" ca="1" si="5"/>
        <v/>
      </c>
      <c r="AF18" s="122" t="str">
        <f t="shared" ca="1" si="5"/>
        <v/>
      </c>
      <c r="AG18" s="122" t="str">
        <f t="shared" ca="1" si="5"/>
        <v/>
      </c>
      <c r="AH18" s="122" t="str">
        <f t="shared" ca="1" si="5"/>
        <v/>
      </c>
      <c r="AI18" s="122" t="str">
        <f t="shared" ca="1" si="5"/>
        <v/>
      </c>
      <c r="AJ18" s="122" t="str">
        <f t="shared" ca="1" si="5"/>
        <v/>
      </c>
      <c r="AK18" s="122" t="str">
        <f t="shared" ca="1" si="5"/>
        <v/>
      </c>
      <c r="AL18" s="122" t="str">
        <f t="shared" ca="1" si="5"/>
        <v/>
      </c>
      <c r="AM18" s="122" t="str">
        <f t="shared" ca="1" si="5"/>
        <v/>
      </c>
      <c r="AN18" s="122" t="str">
        <f t="shared" ca="1" si="5"/>
        <v/>
      </c>
      <c r="AO18" s="122" t="str">
        <f t="shared" ca="1" si="6"/>
        <v/>
      </c>
      <c r="AP18" s="122" t="str">
        <f t="shared" ca="1" si="6"/>
        <v/>
      </c>
      <c r="AQ18" s="122" t="str">
        <f t="shared" ca="1" si="6"/>
        <v/>
      </c>
      <c r="AR18" s="122" t="str">
        <f t="shared" ca="1" si="6"/>
        <v/>
      </c>
      <c r="AS18" s="122" t="str">
        <f t="shared" ca="1" si="6"/>
        <v/>
      </c>
      <c r="AT18" s="122" t="str">
        <f t="shared" ca="1" si="6"/>
        <v/>
      </c>
      <c r="AU18" s="122" t="str">
        <f t="shared" ca="1" si="6"/>
        <v/>
      </c>
      <c r="AV18" s="122" t="str">
        <f t="shared" ca="1" si="6"/>
        <v/>
      </c>
      <c r="AW18" s="122" t="str">
        <f t="shared" ca="1" si="6"/>
        <v/>
      </c>
      <c r="AX18" s="122" t="str">
        <f t="shared" ca="1" si="6"/>
        <v/>
      </c>
      <c r="AY18" s="122" t="str">
        <f t="shared" ca="1" si="6"/>
        <v/>
      </c>
      <c r="AZ18" s="122" t="str">
        <f t="shared" ca="1" si="6"/>
        <v/>
      </c>
      <c r="BA18" s="122" t="str">
        <f t="shared" ca="1" si="6"/>
        <v/>
      </c>
      <c r="BB18" s="122" t="str">
        <f t="shared" ca="1" si="6"/>
        <v/>
      </c>
      <c r="BC18" s="122" t="str">
        <f t="shared" ca="1" si="6"/>
        <v/>
      </c>
      <c r="BD18" s="122" t="str">
        <f t="shared" ca="1" si="6"/>
        <v/>
      </c>
      <c r="BE18" s="122" t="str">
        <f t="shared" ca="1" si="7"/>
        <v/>
      </c>
      <c r="BF18" s="122" t="str">
        <f t="shared" ca="1" si="7"/>
        <v/>
      </c>
      <c r="BG18" s="122" t="str">
        <f t="shared" ca="1" si="7"/>
        <v/>
      </c>
      <c r="BH18" s="122" t="str">
        <f t="shared" ca="1" si="7"/>
        <v/>
      </c>
      <c r="BI18" s="122" t="str">
        <f t="shared" ca="1" si="7"/>
        <v/>
      </c>
      <c r="BJ18" s="122" t="str">
        <f t="shared" ca="1" si="7"/>
        <v/>
      </c>
      <c r="BK18" s="122" t="str">
        <f t="shared" ca="1" si="7"/>
        <v/>
      </c>
      <c r="BL18" s="122" t="str">
        <f t="shared" ca="1" si="7"/>
        <v/>
      </c>
      <c r="BM18" s="27"/>
    </row>
    <row r="19" spans="1:65" s="1" customFormat="1" ht="40" customHeight="1" x14ac:dyDescent="0.2">
      <c r="A19" s="9"/>
      <c r="B19" s="25" t="s">
        <v>96</v>
      </c>
      <c r="C19" s="21" t="s">
        <v>102</v>
      </c>
      <c r="D19" s="21"/>
      <c r="E19" s="22">
        <v>0.5</v>
      </c>
      <c r="F19" s="23">
        <f ca="1">F18+2</f>
        <v>45989</v>
      </c>
      <c r="G19" s="24">
        <v>9</v>
      </c>
      <c r="H19" s="19"/>
      <c r="I19" s="121" t="str">
        <f t="shared" ca="1" si="8"/>
        <v/>
      </c>
      <c r="J19" s="122" t="str">
        <f t="shared" ca="1" si="4"/>
        <v/>
      </c>
      <c r="K19" s="122" t="str">
        <f t="shared" ca="1" si="4"/>
        <v/>
      </c>
      <c r="L19" s="122" t="str">
        <f t="shared" ca="1" si="4"/>
        <v/>
      </c>
      <c r="M19" s="122" t="str">
        <f t="shared" ca="1" si="4"/>
        <v/>
      </c>
      <c r="N19" s="122" t="str">
        <f t="shared" ca="1" si="4"/>
        <v/>
      </c>
      <c r="O19" s="122" t="str">
        <f t="shared" ca="1" si="4"/>
        <v/>
      </c>
      <c r="P19" s="122" t="str">
        <f t="shared" ca="1" si="4"/>
        <v/>
      </c>
      <c r="Q19" s="122" t="str">
        <f t="shared" ca="1" si="4"/>
        <v/>
      </c>
      <c r="R19" s="122" t="str">
        <f t="shared" ca="1" si="4"/>
        <v/>
      </c>
      <c r="S19" s="122" t="str">
        <f t="shared" ca="1" si="4"/>
        <v/>
      </c>
      <c r="T19" s="122" t="str">
        <f t="shared" ca="1" si="4"/>
        <v/>
      </c>
      <c r="U19" s="122" t="str">
        <f t="shared" ca="1" si="4"/>
        <v/>
      </c>
      <c r="V19" s="122" t="str">
        <f t="shared" ca="1" si="4"/>
        <v/>
      </c>
      <c r="W19" s="122" t="str">
        <f t="shared" ca="1" si="4"/>
        <v/>
      </c>
      <c r="X19" s="122" t="str">
        <f t="shared" ca="1" si="4"/>
        <v/>
      </c>
      <c r="Y19" s="122" t="str">
        <f t="shared" ca="1" si="5"/>
        <v/>
      </c>
      <c r="Z19" s="122" t="str">
        <f t="shared" ca="1" si="5"/>
        <v/>
      </c>
      <c r="AA19" s="122" t="str">
        <f t="shared" ca="1" si="5"/>
        <v/>
      </c>
      <c r="AB19" s="122" t="str">
        <f t="shared" ca="1" si="5"/>
        <v/>
      </c>
      <c r="AC19" s="122" t="str">
        <f t="shared" ca="1" si="5"/>
        <v/>
      </c>
      <c r="AD19" s="122" t="str">
        <f t="shared" ca="1" si="5"/>
        <v/>
      </c>
      <c r="AE19" s="122" t="str">
        <f t="shared" ca="1" si="5"/>
        <v/>
      </c>
      <c r="AF19" s="122" t="str">
        <f t="shared" ca="1" si="5"/>
        <v/>
      </c>
      <c r="AG19" s="122" t="str">
        <f t="shared" ca="1" si="5"/>
        <v/>
      </c>
      <c r="AH19" s="122" t="str">
        <f t="shared" ca="1" si="5"/>
        <v/>
      </c>
      <c r="AI19" s="122" t="str">
        <f t="shared" ca="1" si="5"/>
        <v/>
      </c>
      <c r="AJ19" s="122" t="str">
        <f t="shared" ca="1" si="5"/>
        <v/>
      </c>
      <c r="AK19" s="122" t="str">
        <f t="shared" ca="1" si="5"/>
        <v/>
      </c>
      <c r="AL19" s="122" t="str">
        <f t="shared" ca="1" si="5"/>
        <v/>
      </c>
      <c r="AM19" s="122" t="str">
        <f t="shared" ca="1" si="5"/>
        <v/>
      </c>
      <c r="AN19" s="122" t="str">
        <f t="shared" ca="1" si="5"/>
        <v/>
      </c>
      <c r="AO19" s="122" t="str">
        <f t="shared" ca="1" si="6"/>
        <v/>
      </c>
      <c r="AP19" s="122" t="str">
        <f t="shared" ca="1" si="6"/>
        <v/>
      </c>
      <c r="AQ19" s="122" t="str">
        <f t="shared" ca="1" si="6"/>
        <v/>
      </c>
      <c r="AR19" s="122" t="str">
        <f t="shared" ca="1" si="6"/>
        <v/>
      </c>
      <c r="AS19" s="122" t="str">
        <f t="shared" ca="1" si="6"/>
        <v/>
      </c>
      <c r="AT19" s="122" t="str">
        <f t="shared" ca="1" si="6"/>
        <v/>
      </c>
      <c r="AU19" s="122" t="str">
        <f t="shared" ca="1" si="6"/>
        <v/>
      </c>
      <c r="AV19" s="122" t="str">
        <f t="shared" ca="1" si="6"/>
        <v/>
      </c>
      <c r="AW19" s="122" t="str">
        <f t="shared" ca="1" si="6"/>
        <v/>
      </c>
      <c r="AX19" s="122" t="str">
        <f t="shared" ca="1" si="6"/>
        <v/>
      </c>
      <c r="AY19" s="122" t="str">
        <f t="shared" ca="1" si="6"/>
        <v/>
      </c>
      <c r="AZ19" s="122" t="str">
        <f t="shared" ca="1" si="6"/>
        <v/>
      </c>
      <c r="BA19" s="122" t="str">
        <f t="shared" ca="1" si="6"/>
        <v/>
      </c>
      <c r="BB19" s="122" t="str">
        <f t="shared" ca="1" si="6"/>
        <v/>
      </c>
      <c r="BC19" s="122" t="str">
        <f t="shared" ca="1" si="6"/>
        <v/>
      </c>
      <c r="BD19" s="122" t="str">
        <f t="shared" ca="1" si="6"/>
        <v/>
      </c>
      <c r="BE19" s="122" t="str">
        <f t="shared" ca="1" si="7"/>
        <v/>
      </c>
      <c r="BF19" s="122" t="str">
        <f t="shared" ca="1" si="7"/>
        <v/>
      </c>
      <c r="BG19" s="122" t="str">
        <f t="shared" ca="1" si="7"/>
        <v/>
      </c>
      <c r="BH19" s="122" t="str">
        <f t="shared" ca="1" si="7"/>
        <v/>
      </c>
      <c r="BI19" s="122" t="str">
        <f t="shared" ca="1" si="7"/>
        <v/>
      </c>
      <c r="BJ19" s="122" t="str">
        <f t="shared" ca="1" si="7"/>
        <v/>
      </c>
      <c r="BK19" s="122" t="str">
        <f t="shared" ca="1" si="7"/>
        <v/>
      </c>
      <c r="BL19" s="122" t="str">
        <f t="shared" ca="1" si="7"/>
        <v/>
      </c>
      <c r="BM19" s="27"/>
    </row>
    <row r="20" spans="1:65" s="1" customFormat="1" ht="40" customHeight="1" x14ac:dyDescent="0.2">
      <c r="A20" s="9"/>
      <c r="B20" s="25" t="s">
        <v>98</v>
      </c>
      <c r="C20" s="21" t="s">
        <v>23</v>
      </c>
      <c r="D20" s="21"/>
      <c r="E20" s="22">
        <v>0.33</v>
      </c>
      <c r="F20" s="23">
        <f ca="1">F19+5</f>
        <v>45994</v>
      </c>
      <c r="G20" s="24">
        <v>11</v>
      </c>
      <c r="H20" s="19"/>
      <c r="I20" s="121" t="str">
        <f t="shared" ca="1" si="8"/>
        <v/>
      </c>
      <c r="J20" s="122" t="str">
        <f t="shared" ca="1" si="4"/>
        <v/>
      </c>
      <c r="K20" s="122" t="str">
        <f t="shared" ca="1" si="4"/>
        <v/>
      </c>
      <c r="L20" s="122" t="str">
        <f t="shared" ca="1" si="4"/>
        <v/>
      </c>
      <c r="M20" s="122" t="str">
        <f t="shared" ca="1" si="4"/>
        <v/>
      </c>
      <c r="N20" s="122" t="str">
        <f t="shared" ca="1" si="4"/>
        <v/>
      </c>
      <c r="O20" s="122" t="str">
        <f t="shared" ca="1" si="4"/>
        <v/>
      </c>
      <c r="P20" s="122" t="str">
        <f t="shared" ca="1" si="4"/>
        <v/>
      </c>
      <c r="Q20" s="122" t="str">
        <f t="shared" ca="1" si="4"/>
        <v/>
      </c>
      <c r="R20" s="122" t="str">
        <f t="shared" ca="1" si="4"/>
        <v/>
      </c>
      <c r="S20" s="122" t="str">
        <f t="shared" ca="1" si="4"/>
        <v/>
      </c>
      <c r="T20" s="122" t="str">
        <f t="shared" ca="1" si="4"/>
        <v/>
      </c>
      <c r="U20" s="122" t="str">
        <f t="shared" ca="1" si="4"/>
        <v/>
      </c>
      <c r="V20" s="122" t="str">
        <f t="shared" ca="1" si="4"/>
        <v/>
      </c>
      <c r="W20" s="122" t="str">
        <f t="shared" ca="1" si="4"/>
        <v/>
      </c>
      <c r="X20" s="122" t="str">
        <f t="shared" ca="1" si="4"/>
        <v/>
      </c>
      <c r="Y20" s="122" t="str">
        <f t="shared" ca="1" si="5"/>
        <v/>
      </c>
      <c r="Z20" s="122" t="str">
        <f t="shared" ca="1" si="5"/>
        <v/>
      </c>
      <c r="AA20" s="122" t="str">
        <f t="shared" ca="1" si="5"/>
        <v/>
      </c>
      <c r="AB20" s="122" t="str">
        <f t="shared" ca="1" si="5"/>
        <v/>
      </c>
      <c r="AC20" s="122" t="str">
        <f t="shared" ca="1" si="5"/>
        <v/>
      </c>
      <c r="AD20" s="122" t="str">
        <f t="shared" ca="1" si="5"/>
        <v/>
      </c>
      <c r="AE20" s="122" t="str">
        <f t="shared" ca="1" si="5"/>
        <v/>
      </c>
      <c r="AF20" s="122" t="str">
        <f t="shared" ca="1" si="5"/>
        <v/>
      </c>
      <c r="AG20" s="122" t="str">
        <f t="shared" ca="1" si="5"/>
        <v/>
      </c>
      <c r="AH20" s="122" t="str">
        <f t="shared" ca="1" si="5"/>
        <v/>
      </c>
      <c r="AI20" s="122" t="str">
        <f t="shared" ca="1" si="5"/>
        <v/>
      </c>
      <c r="AJ20" s="122" t="str">
        <f t="shared" ca="1" si="5"/>
        <v/>
      </c>
      <c r="AK20" s="122" t="str">
        <f t="shared" ca="1" si="5"/>
        <v/>
      </c>
      <c r="AL20" s="122" t="str">
        <f t="shared" ca="1" si="5"/>
        <v/>
      </c>
      <c r="AM20" s="122" t="str">
        <f t="shared" ca="1" si="5"/>
        <v/>
      </c>
      <c r="AN20" s="122" t="str">
        <f t="shared" ca="1" si="5"/>
        <v/>
      </c>
      <c r="AO20" s="122" t="str">
        <f t="shared" ca="1" si="6"/>
        <v/>
      </c>
      <c r="AP20" s="122" t="str">
        <f t="shared" ca="1" si="6"/>
        <v/>
      </c>
      <c r="AQ20" s="122" t="str">
        <f t="shared" ca="1" si="6"/>
        <v/>
      </c>
      <c r="AR20" s="122" t="str">
        <f t="shared" ca="1" si="6"/>
        <v/>
      </c>
      <c r="AS20" s="122" t="str">
        <f t="shared" ca="1" si="6"/>
        <v/>
      </c>
      <c r="AT20" s="122" t="str">
        <f t="shared" ca="1" si="6"/>
        <v/>
      </c>
      <c r="AU20" s="122" t="str">
        <f t="shared" ca="1" si="6"/>
        <v/>
      </c>
      <c r="AV20" s="122" t="str">
        <f t="shared" ca="1" si="6"/>
        <v/>
      </c>
      <c r="AW20" s="122" t="str">
        <f t="shared" ca="1" si="6"/>
        <v/>
      </c>
      <c r="AX20" s="122" t="str">
        <f t="shared" ca="1" si="6"/>
        <v/>
      </c>
      <c r="AY20" s="122" t="str">
        <f t="shared" ca="1" si="6"/>
        <v/>
      </c>
      <c r="AZ20" s="122" t="str">
        <f t="shared" ca="1" si="6"/>
        <v/>
      </c>
      <c r="BA20" s="122" t="str">
        <f t="shared" ca="1" si="6"/>
        <v/>
      </c>
      <c r="BB20" s="122" t="str">
        <f t="shared" ca="1" si="6"/>
        <v/>
      </c>
      <c r="BC20" s="122" t="str">
        <f t="shared" ca="1" si="6"/>
        <v/>
      </c>
      <c r="BD20" s="122" t="str">
        <f t="shared" ca="1" si="6"/>
        <v/>
      </c>
      <c r="BE20" s="122" t="str">
        <f t="shared" ca="1" si="7"/>
        <v/>
      </c>
      <c r="BF20" s="122" t="str">
        <f t="shared" ca="1" si="7"/>
        <v/>
      </c>
      <c r="BG20" s="122" t="str">
        <f t="shared" ca="1" si="7"/>
        <v/>
      </c>
      <c r="BH20" s="122" t="str">
        <f t="shared" ca="1" si="7"/>
        <v/>
      </c>
      <c r="BI20" s="122" t="str">
        <f t="shared" ca="1" si="7"/>
        <v/>
      </c>
      <c r="BJ20" s="122" t="str">
        <f t="shared" ca="1" si="7"/>
        <v/>
      </c>
      <c r="BK20" s="122" t="str">
        <f t="shared" ca="1" si="7"/>
        <v/>
      </c>
      <c r="BL20" s="122" t="str">
        <f t="shared" ca="1" si="7"/>
        <v/>
      </c>
      <c r="BM20" s="27"/>
    </row>
    <row r="21" spans="1:65" s="1" customFormat="1" ht="40" customHeight="1" x14ac:dyDescent="0.2">
      <c r="A21" s="9"/>
      <c r="B21" s="25" t="s">
        <v>99</v>
      </c>
      <c r="C21" s="21" t="s">
        <v>97</v>
      </c>
      <c r="D21" s="21"/>
      <c r="E21" s="22"/>
      <c r="F21" s="23">
        <f ca="1">F20+2</f>
        <v>45996</v>
      </c>
      <c r="G21" s="24">
        <v>1</v>
      </c>
      <c r="H21" s="19"/>
      <c r="I21" s="121" t="str">
        <f t="shared" ca="1" si="8"/>
        <v/>
      </c>
      <c r="J21" s="122" t="str">
        <f t="shared" ca="1" si="4"/>
        <v/>
      </c>
      <c r="K21" s="122" t="str">
        <f t="shared" ca="1" si="4"/>
        <v/>
      </c>
      <c r="L21" s="122" t="str">
        <f t="shared" ca="1" si="4"/>
        <v/>
      </c>
      <c r="M21" s="122" t="str">
        <f t="shared" ca="1" si="4"/>
        <v/>
      </c>
      <c r="N21" s="122" t="str">
        <f t="shared" ca="1" si="4"/>
        <v/>
      </c>
      <c r="O21" s="122" t="str">
        <f t="shared" ca="1" si="4"/>
        <v/>
      </c>
      <c r="P21" s="122" t="str">
        <f t="shared" ca="1" si="4"/>
        <v/>
      </c>
      <c r="Q21" s="122" t="str">
        <f t="shared" ca="1" si="4"/>
        <v/>
      </c>
      <c r="R21" s="122" t="str">
        <f t="shared" ca="1" si="4"/>
        <v/>
      </c>
      <c r="S21" s="122">
        <f t="shared" ca="1" si="4"/>
        <v>1</v>
      </c>
      <c r="T21" s="122" t="str">
        <f t="shared" ca="1" si="4"/>
        <v/>
      </c>
      <c r="U21" s="122" t="str">
        <f t="shared" ca="1" si="4"/>
        <v/>
      </c>
      <c r="V21" s="122" t="str">
        <f t="shared" ca="1" si="4"/>
        <v/>
      </c>
      <c r="W21" s="122" t="str">
        <f t="shared" ca="1" si="4"/>
        <v/>
      </c>
      <c r="X21" s="122" t="str">
        <f t="shared" ca="1" si="4"/>
        <v/>
      </c>
      <c r="Y21" s="122" t="str">
        <f t="shared" ca="1" si="5"/>
        <v/>
      </c>
      <c r="Z21" s="122" t="str">
        <f t="shared" ca="1" si="5"/>
        <v/>
      </c>
      <c r="AA21" s="122" t="str">
        <f t="shared" ca="1" si="5"/>
        <v/>
      </c>
      <c r="AB21" s="122" t="str">
        <f t="shared" ca="1" si="5"/>
        <v/>
      </c>
      <c r="AC21" s="122" t="str">
        <f t="shared" ca="1" si="5"/>
        <v/>
      </c>
      <c r="AD21" s="122" t="str">
        <f t="shared" ca="1" si="5"/>
        <v/>
      </c>
      <c r="AE21" s="122" t="str">
        <f t="shared" ca="1" si="5"/>
        <v/>
      </c>
      <c r="AF21" s="122" t="str">
        <f t="shared" ca="1" si="5"/>
        <v/>
      </c>
      <c r="AG21" s="122" t="str">
        <f t="shared" ca="1" si="5"/>
        <v/>
      </c>
      <c r="AH21" s="122" t="str">
        <f t="shared" ca="1" si="5"/>
        <v/>
      </c>
      <c r="AI21" s="122" t="str">
        <f t="shared" ca="1" si="5"/>
        <v/>
      </c>
      <c r="AJ21" s="122" t="str">
        <f t="shared" ca="1" si="5"/>
        <v/>
      </c>
      <c r="AK21" s="122" t="str">
        <f t="shared" ca="1" si="5"/>
        <v/>
      </c>
      <c r="AL21" s="122" t="str">
        <f t="shared" ca="1" si="5"/>
        <v/>
      </c>
      <c r="AM21" s="122" t="str">
        <f t="shared" ca="1" si="5"/>
        <v/>
      </c>
      <c r="AN21" s="122" t="str">
        <f t="shared" ca="1" si="5"/>
        <v/>
      </c>
      <c r="AO21" s="122" t="str">
        <f t="shared" ca="1" si="6"/>
        <v/>
      </c>
      <c r="AP21" s="122" t="str">
        <f t="shared" ca="1" si="6"/>
        <v/>
      </c>
      <c r="AQ21" s="122" t="str">
        <f t="shared" ca="1" si="6"/>
        <v/>
      </c>
      <c r="AR21" s="122" t="str">
        <f t="shared" ca="1" si="6"/>
        <v/>
      </c>
      <c r="AS21" s="122" t="str">
        <f t="shared" ca="1" si="6"/>
        <v/>
      </c>
      <c r="AT21" s="122" t="str">
        <f t="shared" ca="1" si="6"/>
        <v/>
      </c>
      <c r="AU21" s="122" t="str">
        <f t="shared" ca="1" si="6"/>
        <v/>
      </c>
      <c r="AV21" s="122" t="str">
        <f t="shared" ca="1" si="6"/>
        <v/>
      </c>
      <c r="AW21" s="122" t="str">
        <f t="shared" ca="1" si="6"/>
        <v/>
      </c>
      <c r="AX21" s="122" t="str">
        <f t="shared" ca="1" si="6"/>
        <v/>
      </c>
      <c r="AY21" s="122" t="str">
        <f t="shared" ca="1" si="6"/>
        <v/>
      </c>
      <c r="AZ21" s="122" t="str">
        <f t="shared" ca="1" si="6"/>
        <v/>
      </c>
      <c r="BA21" s="122" t="str">
        <f t="shared" ca="1" si="6"/>
        <v/>
      </c>
      <c r="BB21" s="122" t="str">
        <f t="shared" ca="1" si="6"/>
        <v/>
      </c>
      <c r="BC21" s="122" t="str">
        <f t="shared" ca="1" si="6"/>
        <v/>
      </c>
      <c r="BD21" s="122" t="str">
        <f t="shared" ca="1" si="6"/>
        <v/>
      </c>
      <c r="BE21" s="122" t="str">
        <f t="shared" ca="1" si="7"/>
        <v/>
      </c>
      <c r="BF21" s="122" t="str">
        <f t="shared" ca="1" si="7"/>
        <v/>
      </c>
      <c r="BG21" s="122" t="str">
        <f t="shared" ca="1" si="7"/>
        <v/>
      </c>
      <c r="BH21" s="122" t="str">
        <f t="shared" ca="1" si="7"/>
        <v/>
      </c>
      <c r="BI21" s="122" t="str">
        <f t="shared" ca="1" si="7"/>
        <v/>
      </c>
      <c r="BJ21" s="122" t="str">
        <f t="shared" ca="1" si="7"/>
        <v/>
      </c>
      <c r="BK21" s="122" t="str">
        <f t="shared" ca="1" si="7"/>
        <v/>
      </c>
      <c r="BL21" s="122" t="str">
        <f t="shared" ca="1" si="7"/>
        <v/>
      </c>
      <c r="BM21" s="27"/>
    </row>
    <row r="22" spans="1:65" s="1" customFormat="1" ht="40" customHeight="1" x14ac:dyDescent="0.2">
      <c r="A22" s="9"/>
      <c r="B22" s="25" t="s">
        <v>100</v>
      </c>
      <c r="C22" s="21"/>
      <c r="D22" s="21"/>
      <c r="E22" s="22"/>
      <c r="F22" s="23">
        <f ca="1">F21+1</f>
        <v>45997</v>
      </c>
      <c r="G22" s="24">
        <v>24</v>
      </c>
      <c r="H22" s="19"/>
      <c r="I22" s="121" t="str">
        <f t="shared" ca="1" si="8"/>
        <v/>
      </c>
      <c r="J22" s="122" t="str">
        <f t="shared" ca="1" si="4"/>
        <v/>
      </c>
      <c r="K22" s="122" t="str">
        <f t="shared" ca="1" si="4"/>
        <v/>
      </c>
      <c r="L22" s="122" t="str">
        <f t="shared" ca="1" si="4"/>
        <v/>
      </c>
      <c r="M22" s="122" t="str">
        <f t="shared" ca="1" si="4"/>
        <v/>
      </c>
      <c r="N22" s="122" t="str">
        <f t="shared" ca="1" si="4"/>
        <v/>
      </c>
      <c r="O22" s="122" t="str">
        <f t="shared" ca="1" si="4"/>
        <v/>
      </c>
      <c r="P22" s="122" t="str">
        <f t="shared" ca="1" si="4"/>
        <v/>
      </c>
      <c r="Q22" s="122" t="str">
        <f t="shared" ca="1" si="4"/>
        <v/>
      </c>
      <c r="R22" s="122" t="str">
        <f t="shared" ca="1" si="4"/>
        <v/>
      </c>
      <c r="S22" s="122" t="str">
        <f t="shared" ca="1" si="4"/>
        <v/>
      </c>
      <c r="T22" s="122" t="str">
        <f t="shared" ca="1" si="4"/>
        <v/>
      </c>
      <c r="U22" s="122" t="str">
        <f t="shared" ca="1" si="4"/>
        <v/>
      </c>
      <c r="V22" s="122" t="str">
        <f t="shared" ca="1" si="4"/>
        <v/>
      </c>
      <c r="W22" s="122" t="str">
        <f t="shared" ca="1" si="4"/>
        <v/>
      </c>
      <c r="X22" s="122" t="str">
        <f t="shared" ca="1" si="4"/>
        <v/>
      </c>
      <c r="Y22" s="122" t="str">
        <f t="shared" ca="1" si="5"/>
        <v/>
      </c>
      <c r="Z22" s="122" t="str">
        <f t="shared" ca="1" si="5"/>
        <v/>
      </c>
      <c r="AA22" s="122" t="str">
        <f t="shared" ca="1" si="5"/>
        <v/>
      </c>
      <c r="AB22" s="122" t="str">
        <f t="shared" ca="1" si="5"/>
        <v/>
      </c>
      <c r="AC22" s="122" t="str">
        <f t="shared" ca="1" si="5"/>
        <v/>
      </c>
      <c r="AD22" s="122" t="str">
        <f t="shared" ca="1" si="5"/>
        <v/>
      </c>
      <c r="AE22" s="122" t="str">
        <f t="shared" ca="1" si="5"/>
        <v/>
      </c>
      <c r="AF22" s="122" t="str">
        <f t="shared" ca="1" si="5"/>
        <v/>
      </c>
      <c r="AG22" s="122" t="str">
        <f t="shared" ca="1" si="5"/>
        <v/>
      </c>
      <c r="AH22" s="122" t="str">
        <f t="shared" ca="1" si="5"/>
        <v/>
      </c>
      <c r="AI22" s="122" t="str">
        <f t="shared" ca="1" si="5"/>
        <v/>
      </c>
      <c r="AJ22" s="122" t="str">
        <f t="shared" ca="1" si="5"/>
        <v/>
      </c>
      <c r="AK22" s="122" t="str">
        <f t="shared" ca="1" si="5"/>
        <v/>
      </c>
      <c r="AL22" s="122" t="str">
        <f t="shared" ca="1" si="5"/>
        <v/>
      </c>
      <c r="AM22" s="122" t="str">
        <f t="shared" ca="1" si="5"/>
        <v/>
      </c>
      <c r="AN22" s="122" t="str">
        <f t="shared" ca="1" si="5"/>
        <v/>
      </c>
      <c r="AO22" s="122" t="str">
        <f t="shared" ca="1" si="6"/>
        <v/>
      </c>
      <c r="AP22" s="122" t="str">
        <f t="shared" ca="1" si="6"/>
        <v/>
      </c>
      <c r="AQ22" s="122" t="str">
        <f t="shared" ca="1" si="6"/>
        <v/>
      </c>
      <c r="AR22" s="122" t="str">
        <f t="shared" ca="1" si="6"/>
        <v/>
      </c>
      <c r="AS22" s="122" t="str">
        <f t="shared" ca="1" si="6"/>
        <v/>
      </c>
      <c r="AT22" s="122" t="str">
        <f t="shared" ca="1" si="6"/>
        <v/>
      </c>
      <c r="AU22" s="122" t="str">
        <f t="shared" ca="1" si="6"/>
        <v/>
      </c>
      <c r="AV22" s="122" t="str">
        <f t="shared" ca="1" si="6"/>
        <v/>
      </c>
      <c r="AW22" s="122" t="str">
        <f t="shared" ca="1" si="6"/>
        <v/>
      </c>
      <c r="AX22" s="122" t="str">
        <f t="shared" ca="1" si="6"/>
        <v/>
      </c>
      <c r="AY22" s="122" t="str">
        <f t="shared" ca="1" si="6"/>
        <v/>
      </c>
      <c r="AZ22" s="122" t="str">
        <f t="shared" ca="1" si="6"/>
        <v/>
      </c>
      <c r="BA22" s="122" t="str">
        <f t="shared" ca="1" si="6"/>
        <v/>
      </c>
      <c r="BB22" s="122" t="str">
        <f t="shared" ca="1" si="6"/>
        <v/>
      </c>
      <c r="BC22" s="122" t="str">
        <f t="shared" ca="1" si="6"/>
        <v/>
      </c>
      <c r="BD22" s="122" t="str">
        <f t="shared" ca="1" si="6"/>
        <v/>
      </c>
      <c r="BE22" s="122" t="str">
        <f t="shared" ca="1" si="7"/>
        <v/>
      </c>
      <c r="BF22" s="122" t="str">
        <f t="shared" ca="1" si="7"/>
        <v/>
      </c>
      <c r="BG22" s="122" t="str">
        <f t="shared" ca="1" si="7"/>
        <v/>
      </c>
      <c r="BH22" s="122" t="str">
        <f t="shared" ca="1" si="7"/>
        <v/>
      </c>
      <c r="BI22" s="122" t="str">
        <f t="shared" ca="1" si="7"/>
        <v/>
      </c>
      <c r="BJ22" s="122" t="str">
        <f t="shared" ca="1" si="7"/>
        <v/>
      </c>
      <c r="BK22" s="122" t="str">
        <f t="shared" ca="1" si="7"/>
        <v/>
      </c>
      <c r="BL22" s="122" t="str">
        <f t="shared" ca="1" si="7"/>
        <v/>
      </c>
      <c r="BM22" s="27"/>
    </row>
    <row r="23" spans="1:65" s="1" customFormat="1" ht="40" customHeight="1" x14ac:dyDescent="0.2">
      <c r="A23" s="9"/>
      <c r="B23" s="118" t="s">
        <v>103</v>
      </c>
      <c r="C23" s="21"/>
      <c r="D23" s="21"/>
      <c r="E23" s="22"/>
      <c r="F23" s="23"/>
      <c r="G23" s="24"/>
      <c r="H23" s="19"/>
      <c r="I23" s="121" t="str">
        <f t="shared" ca="1" si="8"/>
        <v/>
      </c>
      <c r="J23" s="122" t="str">
        <f t="shared" ca="1" si="4"/>
        <v/>
      </c>
      <c r="K23" s="122" t="str">
        <f t="shared" ca="1" si="4"/>
        <v/>
      </c>
      <c r="L23" s="122" t="str">
        <f t="shared" ca="1" si="4"/>
        <v/>
      </c>
      <c r="M23" s="122" t="str">
        <f t="shared" ca="1" si="4"/>
        <v/>
      </c>
      <c r="N23" s="122" t="str">
        <f t="shared" ca="1" si="4"/>
        <v/>
      </c>
      <c r="O23" s="122" t="str">
        <f t="shared" ca="1" si="4"/>
        <v/>
      </c>
      <c r="P23" s="122" t="str">
        <f t="shared" ca="1" si="4"/>
        <v/>
      </c>
      <c r="Q23" s="122" t="str">
        <f t="shared" ca="1" si="4"/>
        <v/>
      </c>
      <c r="R23" s="122" t="str">
        <f t="shared" ca="1" si="4"/>
        <v/>
      </c>
      <c r="S23" s="122" t="str">
        <f t="shared" ca="1" si="4"/>
        <v/>
      </c>
      <c r="T23" s="122" t="str">
        <f t="shared" ca="1" si="4"/>
        <v/>
      </c>
      <c r="U23" s="122" t="str">
        <f t="shared" ca="1" si="4"/>
        <v/>
      </c>
      <c r="V23" s="122" t="str">
        <f t="shared" ca="1" si="4"/>
        <v/>
      </c>
      <c r="W23" s="122" t="str">
        <f t="shared" ca="1" si="4"/>
        <v/>
      </c>
      <c r="X23" s="122" t="str">
        <f t="shared" ca="1" si="4"/>
        <v/>
      </c>
      <c r="Y23" s="122" t="str">
        <f t="shared" ca="1" si="5"/>
        <v/>
      </c>
      <c r="Z23" s="122" t="str">
        <f t="shared" ca="1" si="5"/>
        <v/>
      </c>
      <c r="AA23" s="122" t="str">
        <f t="shared" ca="1" si="5"/>
        <v/>
      </c>
      <c r="AB23" s="122" t="str">
        <f t="shared" ca="1" si="5"/>
        <v/>
      </c>
      <c r="AC23" s="122" t="str">
        <f t="shared" ca="1" si="5"/>
        <v/>
      </c>
      <c r="AD23" s="122" t="str">
        <f t="shared" ca="1" si="5"/>
        <v/>
      </c>
      <c r="AE23" s="122" t="str">
        <f t="shared" ca="1" si="5"/>
        <v/>
      </c>
      <c r="AF23" s="122" t="str">
        <f t="shared" ca="1" si="5"/>
        <v/>
      </c>
      <c r="AG23" s="122" t="str">
        <f t="shared" ca="1" si="5"/>
        <v/>
      </c>
      <c r="AH23" s="122" t="str">
        <f t="shared" ca="1" si="5"/>
        <v/>
      </c>
      <c r="AI23" s="122" t="str">
        <f t="shared" ca="1" si="5"/>
        <v/>
      </c>
      <c r="AJ23" s="122" t="str">
        <f t="shared" ca="1" si="5"/>
        <v/>
      </c>
      <c r="AK23" s="122" t="str">
        <f t="shared" ca="1" si="5"/>
        <v/>
      </c>
      <c r="AL23" s="122" t="str">
        <f t="shared" ca="1" si="5"/>
        <v/>
      </c>
      <c r="AM23" s="122" t="str">
        <f t="shared" ca="1" si="5"/>
        <v/>
      </c>
      <c r="AN23" s="122" t="str">
        <f t="shared" ca="1" si="5"/>
        <v/>
      </c>
      <c r="AO23" s="122" t="str">
        <f t="shared" ca="1" si="6"/>
        <v/>
      </c>
      <c r="AP23" s="122" t="str">
        <f t="shared" ca="1" si="6"/>
        <v/>
      </c>
      <c r="AQ23" s="122" t="str">
        <f t="shared" ca="1" si="6"/>
        <v/>
      </c>
      <c r="AR23" s="122" t="str">
        <f t="shared" ca="1" si="6"/>
        <v/>
      </c>
      <c r="AS23" s="122" t="str">
        <f t="shared" ca="1" si="6"/>
        <v/>
      </c>
      <c r="AT23" s="122" t="str">
        <f t="shared" ca="1" si="6"/>
        <v/>
      </c>
      <c r="AU23" s="122" t="str">
        <f t="shared" ca="1" si="6"/>
        <v/>
      </c>
      <c r="AV23" s="122" t="str">
        <f t="shared" ca="1" si="6"/>
        <v/>
      </c>
      <c r="AW23" s="122" t="str">
        <f t="shared" ca="1" si="6"/>
        <v/>
      </c>
      <c r="AX23" s="122" t="str">
        <f t="shared" ca="1" si="6"/>
        <v/>
      </c>
      <c r="AY23" s="122" t="str">
        <f t="shared" ca="1" si="6"/>
        <v/>
      </c>
      <c r="AZ23" s="122" t="str">
        <f t="shared" ca="1" si="6"/>
        <v/>
      </c>
      <c r="BA23" s="122" t="str">
        <f t="shared" ca="1" si="6"/>
        <v/>
      </c>
      <c r="BB23" s="122" t="str">
        <f t="shared" ca="1" si="6"/>
        <v/>
      </c>
      <c r="BC23" s="122" t="str">
        <f t="shared" ca="1" si="6"/>
        <v/>
      </c>
      <c r="BD23" s="122" t="str">
        <f t="shared" ca="1" si="6"/>
        <v/>
      </c>
      <c r="BE23" s="122" t="str">
        <f t="shared" ca="1" si="7"/>
        <v/>
      </c>
      <c r="BF23" s="122" t="str">
        <f t="shared" ca="1" si="7"/>
        <v/>
      </c>
      <c r="BG23" s="122" t="str">
        <f t="shared" ca="1" si="7"/>
        <v/>
      </c>
      <c r="BH23" s="122" t="str">
        <f t="shared" ca="1" si="7"/>
        <v/>
      </c>
      <c r="BI23" s="122" t="str">
        <f t="shared" ca="1" si="7"/>
        <v/>
      </c>
      <c r="BJ23" s="122" t="str">
        <f t="shared" ca="1" si="7"/>
        <v/>
      </c>
      <c r="BK23" s="122" t="str">
        <f t="shared" ca="1" si="7"/>
        <v/>
      </c>
      <c r="BL23" s="122" t="str">
        <f t="shared" ca="1" si="7"/>
        <v/>
      </c>
      <c r="BM23" s="27"/>
    </row>
    <row r="24" spans="1:65" s="1" customFormat="1" ht="40" customHeight="1" x14ac:dyDescent="0.2">
      <c r="A24" s="9"/>
      <c r="B24" s="25" t="s">
        <v>93</v>
      </c>
      <c r="C24" s="21" t="s">
        <v>102</v>
      </c>
      <c r="D24" s="21"/>
      <c r="E24" s="22"/>
      <c r="F24" s="23">
        <f ca="1">F12+15</f>
        <v>45996</v>
      </c>
      <c r="G24" s="24">
        <v>4</v>
      </c>
      <c r="H24" s="19"/>
      <c r="I24" s="121" t="str">
        <f t="shared" ca="1" si="8"/>
        <v/>
      </c>
      <c r="J24" s="122" t="str">
        <f t="shared" ca="1" si="4"/>
        <v/>
      </c>
      <c r="K24" s="122" t="str">
        <f t="shared" ca="1" si="4"/>
        <v/>
      </c>
      <c r="L24" s="122" t="str">
        <f t="shared" ca="1" si="4"/>
        <v/>
      </c>
      <c r="M24" s="122" t="str">
        <f t="shared" ca="1" si="4"/>
        <v/>
      </c>
      <c r="N24" s="122" t="str">
        <f t="shared" ca="1" si="4"/>
        <v/>
      </c>
      <c r="O24" s="122" t="str">
        <f t="shared" ca="1" si="4"/>
        <v/>
      </c>
      <c r="P24" s="122" t="str">
        <f t="shared" ca="1" si="4"/>
        <v/>
      </c>
      <c r="Q24" s="122" t="str">
        <f t="shared" ca="1" si="4"/>
        <v/>
      </c>
      <c r="R24" s="122" t="str">
        <f t="shared" ca="1" si="4"/>
        <v/>
      </c>
      <c r="S24" s="122" t="str">
        <f t="shared" ca="1" si="4"/>
        <v/>
      </c>
      <c r="T24" s="122" t="str">
        <f t="shared" ca="1" si="4"/>
        <v/>
      </c>
      <c r="U24" s="122" t="str">
        <f t="shared" ca="1" si="4"/>
        <v/>
      </c>
      <c r="V24" s="122" t="str">
        <f t="shared" ca="1" si="4"/>
        <v/>
      </c>
      <c r="W24" s="122" t="str">
        <f t="shared" ca="1" si="4"/>
        <v/>
      </c>
      <c r="X24" s="122" t="str">
        <f t="shared" ca="1" si="4"/>
        <v/>
      </c>
      <c r="Y24" s="122" t="str">
        <f t="shared" ca="1" si="5"/>
        <v/>
      </c>
      <c r="Z24" s="122" t="str">
        <f t="shared" ca="1" si="5"/>
        <v/>
      </c>
      <c r="AA24" s="122" t="str">
        <f t="shared" ca="1" si="5"/>
        <v/>
      </c>
      <c r="AB24" s="122" t="str">
        <f t="shared" ca="1" si="5"/>
        <v/>
      </c>
      <c r="AC24" s="122" t="str">
        <f t="shared" ca="1" si="5"/>
        <v/>
      </c>
      <c r="AD24" s="122" t="str">
        <f t="shared" ca="1" si="5"/>
        <v/>
      </c>
      <c r="AE24" s="122" t="str">
        <f t="shared" ca="1" si="5"/>
        <v/>
      </c>
      <c r="AF24" s="122" t="str">
        <f t="shared" ca="1" si="5"/>
        <v/>
      </c>
      <c r="AG24" s="122" t="str">
        <f t="shared" ca="1" si="5"/>
        <v/>
      </c>
      <c r="AH24" s="122" t="str">
        <f t="shared" ca="1" si="5"/>
        <v/>
      </c>
      <c r="AI24" s="122" t="str">
        <f t="shared" ca="1" si="5"/>
        <v/>
      </c>
      <c r="AJ24" s="122" t="str">
        <f t="shared" ca="1" si="5"/>
        <v/>
      </c>
      <c r="AK24" s="122" t="str">
        <f t="shared" ca="1" si="5"/>
        <v/>
      </c>
      <c r="AL24" s="122" t="str">
        <f t="shared" ca="1" si="5"/>
        <v/>
      </c>
      <c r="AM24" s="122" t="str">
        <f t="shared" ca="1" si="5"/>
        <v/>
      </c>
      <c r="AN24" s="122" t="str">
        <f t="shared" ca="1" si="5"/>
        <v/>
      </c>
      <c r="AO24" s="122" t="str">
        <f t="shared" ca="1" si="6"/>
        <v/>
      </c>
      <c r="AP24" s="122" t="str">
        <f t="shared" ca="1" si="6"/>
        <v/>
      </c>
      <c r="AQ24" s="122" t="str">
        <f t="shared" ca="1" si="6"/>
        <v/>
      </c>
      <c r="AR24" s="122" t="str">
        <f t="shared" ca="1" si="6"/>
        <v/>
      </c>
      <c r="AS24" s="122" t="str">
        <f t="shared" ca="1" si="6"/>
        <v/>
      </c>
      <c r="AT24" s="122" t="str">
        <f t="shared" ca="1" si="6"/>
        <v/>
      </c>
      <c r="AU24" s="122" t="str">
        <f t="shared" ca="1" si="6"/>
        <v/>
      </c>
      <c r="AV24" s="122" t="str">
        <f t="shared" ca="1" si="6"/>
        <v/>
      </c>
      <c r="AW24" s="122" t="str">
        <f t="shared" ca="1" si="6"/>
        <v/>
      </c>
      <c r="AX24" s="122" t="str">
        <f t="shared" ca="1" si="6"/>
        <v/>
      </c>
      <c r="AY24" s="122" t="str">
        <f t="shared" ca="1" si="6"/>
        <v/>
      </c>
      <c r="AZ24" s="122" t="str">
        <f t="shared" ca="1" si="6"/>
        <v/>
      </c>
      <c r="BA24" s="122" t="str">
        <f t="shared" ca="1" si="6"/>
        <v/>
      </c>
      <c r="BB24" s="122" t="str">
        <f t="shared" ca="1" si="6"/>
        <v/>
      </c>
      <c r="BC24" s="122" t="str">
        <f t="shared" ca="1" si="6"/>
        <v/>
      </c>
      <c r="BD24" s="122" t="str">
        <f t="shared" ca="1" si="6"/>
        <v/>
      </c>
      <c r="BE24" s="122" t="str">
        <f t="shared" ca="1" si="7"/>
        <v/>
      </c>
      <c r="BF24" s="122" t="str">
        <f t="shared" ca="1" si="7"/>
        <v/>
      </c>
      <c r="BG24" s="122" t="str">
        <f t="shared" ca="1" si="7"/>
        <v/>
      </c>
      <c r="BH24" s="122" t="str">
        <f t="shared" ca="1" si="7"/>
        <v/>
      </c>
      <c r="BI24" s="122" t="str">
        <f t="shared" ca="1" si="7"/>
        <v/>
      </c>
      <c r="BJ24" s="122" t="str">
        <f t="shared" ca="1" si="7"/>
        <v/>
      </c>
      <c r="BK24" s="122" t="str">
        <f t="shared" ca="1" si="7"/>
        <v/>
      </c>
      <c r="BL24" s="122" t="str">
        <f t="shared" ca="1" si="7"/>
        <v/>
      </c>
      <c r="BM24" s="27"/>
    </row>
    <row r="25" spans="1:65" s="1" customFormat="1" ht="40" customHeight="1" x14ac:dyDescent="0.2">
      <c r="A25" s="9"/>
      <c r="B25" s="25" t="s">
        <v>96</v>
      </c>
      <c r="C25" s="21" t="s">
        <v>20</v>
      </c>
      <c r="D25" s="21"/>
      <c r="E25" s="22"/>
      <c r="F25" s="23">
        <f ca="1">F24+3</f>
        <v>45999</v>
      </c>
      <c r="G25" s="24">
        <v>14</v>
      </c>
      <c r="H25" s="19"/>
      <c r="I25" s="121" t="str">
        <f t="shared" ca="1" si="8"/>
        <v/>
      </c>
      <c r="J25" s="122" t="str">
        <f t="shared" ca="1" si="4"/>
        <v/>
      </c>
      <c r="K25" s="122" t="str">
        <f t="shared" ca="1" si="4"/>
        <v/>
      </c>
      <c r="L25" s="122" t="str">
        <f t="shared" ca="1" si="4"/>
        <v/>
      </c>
      <c r="M25" s="122" t="str">
        <f t="shared" ca="1" si="4"/>
        <v/>
      </c>
      <c r="N25" s="122" t="str">
        <f t="shared" ca="1" si="4"/>
        <v/>
      </c>
      <c r="O25" s="122" t="str">
        <f t="shared" ca="1" si="4"/>
        <v/>
      </c>
      <c r="P25" s="122" t="str">
        <f t="shared" ca="1" si="4"/>
        <v/>
      </c>
      <c r="Q25" s="122" t="str">
        <f t="shared" ca="1" si="4"/>
        <v/>
      </c>
      <c r="R25" s="122" t="str">
        <f t="shared" ca="1" si="4"/>
        <v/>
      </c>
      <c r="S25" s="122" t="str">
        <f t="shared" ca="1" si="4"/>
        <v/>
      </c>
      <c r="T25" s="122" t="str">
        <f t="shared" ca="1" si="4"/>
        <v/>
      </c>
      <c r="U25" s="122" t="str">
        <f t="shared" ca="1" si="4"/>
        <v/>
      </c>
      <c r="V25" s="122" t="str">
        <f t="shared" ca="1" si="4"/>
        <v/>
      </c>
      <c r="W25" s="122" t="str">
        <f t="shared" ca="1" si="4"/>
        <v/>
      </c>
      <c r="X25" s="122" t="str">
        <f t="shared" ca="1" si="4"/>
        <v/>
      </c>
      <c r="Y25" s="122" t="str">
        <f t="shared" ca="1" si="5"/>
        <v/>
      </c>
      <c r="Z25" s="122" t="str">
        <f t="shared" ca="1" si="5"/>
        <v/>
      </c>
      <c r="AA25" s="122" t="str">
        <f t="shared" ca="1" si="5"/>
        <v/>
      </c>
      <c r="AB25" s="122" t="str">
        <f t="shared" ca="1" si="5"/>
        <v/>
      </c>
      <c r="AC25" s="122" t="str">
        <f t="shared" ca="1" si="5"/>
        <v/>
      </c>
      <c r="AD25" s="122" t="str">
        <f t="shared" ca="1" si="5"/>
        <v/>
      </c>
      <c r="AE25" s="122" t="str">
        <f t="shared" ca="1" si="5"/>
        <v/>
      </c>
      <c r="AF25" s="122" t="str">
        <f t="shared" ca="1" si="5"/>
        <v/>
      </c>
      <c r="AG25" s="122" t="str">
        <f t="shared" ca="1" si="5"/>
        <v/>
      </c>
      <c r="AH25" s="122" t="str">
        <f t="shared" ca="1" si="5"/>
        <v/>
      </c>
      <c r="AI25" s="122" t="str">
        <f t="shared" ca="1" si="5"/>
        <v/>
      </c>
      <c r="AJ25" s="122" t="str">
        <f t="shared" ca="1" si="5"/>
        <v/>
      </c>
      <c r="AK25" s="122" t="str">
        <f t="shared" ca="1" si="5"/>
        <v/>
      </c>
      <c r="AL25" s="122" t="str">
        <f t="shared" ca="1" si="5"/>
        <v/>
      </c>
      <c r="AM25" s="122" t="str">
        <f t="shared" ca="1" si="5"/>
        <v/>
      </c>
      <c r="AN25" s="122" t="str">
        <f t="shared" ca="1" si="5"/>
        <v/>
      </c>
      <c r="AO25" s="122" t="str">
        <f t="shared" ca="1" si="6"/>
        <v/>
      </c>
      <c r="AP25" s="122" t="str">
        <f t="shared" ca="1" si="6"/>
        <v/>
      </c>
      <c r="AQ25" s="122" t="str">
        <f t="shared" ca="1" si="6"/>
        <v/>
      </c>
      <c r="AR25" s="122" t="str">
        <f t="shared" ca="1" si="6"/>
        <v/>
      </c>
      <c r="AS25" s="122" t="str">
        <f t="shared" ca="1" si="6"/>
        <v/>
      </c>
      <c r="AT25" s="122" t="str">
        <f t="shared" ca="1" si="6"/>
        <v/>
      </c>
      <c r="AU25" s="122" t="str">
        <f t="shared" ca="1" si="6"/>
        <v/>
      </c>
      <c r="AV25" s="122" t="str">
        <f t="shared" ca="1" si="6"/>
        <v/>
      </c>
      <c r="AW25" s="122" t="str">
        <f t="shared" ca="1" si="6"/>
        <v/>
      </c>
      <c r="AX25" s="122" t="str">
        <f t="shared" ca="1" si="6"/>
        <v/>
      </c>
      <c r="AY25" s="122" t="str">
        <f t="shared" ca="1" si="6"/>
        <v/>
      </c>
      <c r="AZ25" s="122" t="str">
        <f t="shared" ca="1" si="6"/>
        <v/>
      </c>
      <c r="BA25" s="122" t="str">
        <f t="shared" ca="1" si="6"/>
        <v/>
      </c>
      <c r="BB25" s="122" t="str">
        <f t="shared" ca="1" si="6"/>
        <v/>
      </c>
      <c r="BC25" s="122" t="str">
        <f t="shared" ca="1" si="6"/>
        <v/>
      </c>
      <c r="BD25" s="122" t="str">
        <f t="shared" ca="1" si="6"/>
        <v/>
      </c>
      <c r="BE25" s="122" t="str">
        <f t="shared" ca="1" si="7"/>
        <v/>
      </c>
      <c r="BF25" s="122" t="str">
        <f t="shared" ca="1" si="7"/>
        <v/>
      </c>
      <c r="BG25" s="122" t="str">
        <f t="shared" ca="1" si="7"/>
        <v/>
      </c>
      <c r="BH25" s="122" t="str">
        <f t="shared" ca="1" si="7"/>
        <v/>
      </c>
      <c r="BI25" s="122" t="str">
        <f t="shared" ca="1" si="7"/>
        <v/>
      </c>
      <c r="BJ25" s="122" t="str">
        <f t="shared" ca="1" si="7"/>
        <v/>
      </c>
      <c r="BK25" s="122" t="str">
        <f t="shared" ca="1" si="7"/>
        <v/>
      </c>
      <c r="BL25" s="122" t="str">
        <f t="shared" ca="1" si="7"/>
        <v/>
      </c>
      <c r="BM25" s="27"/>
    </row>
    <row r="26" spans="1:65" s="1" customFormat="1" ht="40" customHeight="1" x14ac:dyDescent="0.2">
      <c r="A26" s="9"/>
      <c r="B26" s="25" t="s">
        <v>98</v>
      </c>
      <c r="C26" s="21" t="s">
        <v>102</v>
      </c>
      <c r="D26" s="21"/>
      <c r="E26" s="22"/>
      <c r="F26" s="23">
        <f ca="1">F25+15</f>
        <v>46014</v>
      </c>
      <c r="G26" s="24">
        <v>6</v>
      </c>
      <c r="H26" s="19"/>
      <c r="I26" s="121" t="str">
        <f t="shared" ca="1" si="8"/>
        <v/>
      </c>
      <c r="J26" s="122" t="str">
        <f t="shared" ca="1" si="4"/>
        <v/>
      </c>
      <c r="K26" s="122" t="str">
        <f t="shared" ca="1" si="4"/>
        <v/>
      </c>
      <c r="L26" s="122" t="str">
        <f t="shared" ca="1" si="4"/>
        <v/>
      </c>
      <c r="M26" s="122" t="str">
        <f t="shared" ca="1" si="4"/>
        <v/>
      </c>
      <c r="N26" s="122" t="str">
        <f t="shared" ca="1" si="4"/>
        <v/>
      </c>
      <c r="O26" s="122" t="str">
        <f t="shared" ca="1" si="4"/>
        <v/>
      </c>
      <c r="P26" s="122" t="str">
        <f t="shared" ca="1" si="4"/>
        <v/>
      </c>
      <c r="Q26" s="122" t="str">
        <f t="shared" ca="1" si="4"/>
        <v/>
      </c>
      <c r="R26" s="122" t="str">
        <f t="shared" ca="1" si="4"/>
        <v/>
      </c>
      <c r="S26" s="122" t="str">
        <f t="shared" ca="1" si="4"/>
        <v/>
      </c>
      <c r="T26" s="122" t="str">
        <f t="shared" ca="1" si="4"/>
        <v/>
      </c>
      <c r="U26" s="122" t="str">
        <f t="shared" ca="1" si="4"/>
        <v/>
      </c>
      <c r="V26" s="122" t="str">
        <f t="shared" ca="1" si="4"/>
        <v/>
      </c>
      <c r="W26" s="122" t="str">
        <f t="shared" ca="1" si="4"/>
        <v/>
      </c>
      <c r="X26" s="122" t="str">
        <f t="shared" ca="1" si="4"/>
        <v/>
      </c>
      <c r="Y26" s="122" t="str">
        <f t="shared" ca="1" si="5"/>
        <v/>
      </c>
      <c r="Z26" s="122" t="str">
        <f t="shared" ca="1" si="5"/>
        <v/>
      </c>
      <c r="AA26" s="122" t="str">
        <f t="shared" ca="1" si="5"/>
        <v/>
      </c>
      <c r="AB26" s="122" t="str">
        <f t="shared" ca="1" si="5"/>
        <v/>
      </c>
      <c r="AC26" s="122" t="str">
        <f t="shared" ca="1" si="5"/>
        <v/>
      </c>
      <c r="AD26" s="122" t="str">
        <f t="shared" ca="1" si="5"/>
        <v/>
      </c>
      <c r="AE26" s="122" t="str">
        <f t="shared" ca="1" si="5"/>
        <v/>
      </c>
      <c r="AF26" s="122" t="str">
        <f t="shared" ca="1" si="5"/>
        <v/>
      </c>
      <c r="AG26" s="122" t="str">
        <f t="shared" ca="1" si="5"/>
        <v/>
      </c>
      <c r="AH26" s="122" t="str">
        <f t="shared" ca="1" si="5"/>
        <v/>
      </c>
      <c r="AI26" s="122" t="str">
        <f t="shared" ca="1" si="5"/>
        <v/>
      </c>
      <c r="AJ26" s="122" t="str">
        <f t="shared" ca="1" si="5"/>
        <v/>
      </c>
      <c r="AK26" s="122" t="str">
        <f t="shared" ca="1" si="5"/>
        <v/>
      </c>
      <c r="AL26" s="122" t="str">
        <f t="shared" ca="1" si="5"/>
        <v/>
      </c>
      <c r="AM26" s="122" t="str">
        <f t="shared" ca="1" si="5"/>
        <v/>
      </c>
      <c r="AN26" s="122" t="str">
        <f t="shared" ref="AN26:BC35" ca="1" si="9">IF(AND($C26="Goal",AN$7&gt;=$F26,AN$7&lt;=$F26+$G26-1),2,IF(AND($C26="Milestone",AN$7&gt;=$F26,AN$7&lt;=$F26+$G26-1),1,""))</f>
        <v/>
      </c>
      <c r="AO26" s="122" t="str">
        <f t="shared" ca="1" si="6"/>
        <v/>
      </c>
      <c r="AP26" s="122" t="str">
        <f t="shared" ca="1" si="6"/>
        <v/>
      </c>
      <c r="AQ26" s="122" t="str">
        <f t="shared" ca="1" si="6"/>
        <v/>
      </c>
      <c r="AR26" s="122" t="str">
        <f t="shared" ca="1" si="6"/>
        <v/>
      </c>
      <c r="AS26" s="122" t="str">
        <f t="shared" ca="1" si="6"/>
        <v/>
      </c>
      <c r="AT26" s="122" t="str">
        <f t="shared" ca="1" si="6"/>
        <v/>
      </c>
      <c r="AU26" s="122" t="str">
        <f t="shared" ca="1" si="6"/>
        <v/>
      </c>
      <c r="AV26" s="122" t="str">
        <f t="shared" ca="1" si="6"/>
        <v/>
      </c>
      <c r="AW26" s="122" t="str">
        <f t="shared" ca="1" si="6"/>
        <v/>
      </c>
      <c r="AX26" s="122" t="str">
        <f t="shared" ca="1" si="6"/>
        <v/>
      </c>
      <c r="AY26" s="122" t="str">
        <f t="shared" ca="1" si="6"/>
        <v/>
      </c>
      <c r="AZ26" s="122" t="str">
        <f t="shared" ca="1" si="6"/>
        <v/>
      </c>
      <c r="BA26" s="122" t="str">
        <f t="shared" ca="1" si="6"/>
        <v/>
      </c>
      <c r="BB26" s="122" t="str">
        <f t="shared" ca="1" si="6"/>
        <v/>
      </c>
      <c r="BC26" s="122" t="str">
        <f t="shared" ca="1" si="6"/>
        <v/>
      </c>
      <c r="BD26" s="122" t="str">
        <f t="shared" ref="BD26:BL35" ca="1" si="10">IF(AND($C26="Goal",BD$7&gt;=$F26,BD$7&lt;=$F26+$G26-1),2,IF(AND($C26="Milestone",BD$7&gt;=$F26,BD$7&lt;=$F26+$G26-1),1,""))</f>
        <v/>
      </c>
      <c r="BE26" s="122" t="str">
        <f t="shared" ca="1" si="7"/>
        <v/>
      </c>
      <c r="BF26" s="122" t="str">
        <f t="shared" ca="1" si="7"/>
        <v/>
      </c>
      <c r="BG26" s="122" t="str">
        <f t="shared" ca="1" si="7"/>
        <v/>
      </c>
      <c r="BH26" s="122" t="str">
        <f t="shared" ca="1" si="7"/>
        <v/>
      </c>
      <c r="BI26" s="122" t="str">
        <f t="shared" ca="1" si="7"/>
        <v/>
      </c>
      <c r="BJ26" s="122" t="str">
        <f t="shared" ca="1" si="7"/>
        <v/>
      </c>
      <c r="BK26" s="122" t="str">
        <f t="shared" ca="1" si="7"/>
        <v/>
      </c>
      <c r="BL26" s="122" t="str">
        <f t="shared" ca="1" si="7"/>
        <v/>
      </c>
      <c r="BM26" s="27"/>
    </row>
    <row r="27" spans="1:65" s="1" customFormat="1" ht="40" customHeight="1" x14ac:dyDescent="0.2">
      <c r="A27" s="9"/>
      <c r="B27" s="25" t="s">
        <v>99</v>
      </c>
      <c r="C27" s="21" t="s">
        <v>94</v>
      </c>
      <c r="D27" s="21"/>
      <c r="E27" s="22"/>
      <c r="F27" s="23">
        <f ca="1">F21+22</f>
        <v>46018</v>
      </c>
      <c r="G27" s="24">
        <v>3</v>
      </c>
      <c r="H27" s="19"/>
      <c r="I27" s="121" t="str">
        <f t="shared" ca="1" si="8"/>
        <v/>
      </c>
      <c r="J27" s="122" t="str">
        <f t="shared" ca="1" si="8"/>
        <v/>
      </c>
      <c r="K27" s="122" t="str">
        <f t="shared" ca="1" si="8"/>
        <v/>
      </c>
      <c r="L27" s="122" t="str">
        <f t="shared" ca="1" si="8"/>
        <v/>
      </c>
      <c r="M27" s="122" t="str">
        <f t="shared" ca="1" si="8"/>
        <v/>
      </c>
      <c r="N27" s="122" t="str">
        <f t="shared" ca="1" si="8"/>
        <v/>
      </c>
      <c r="O27" s="122" t="str">
        <f t="shared" ca="1" si="8"/>
        <v/>
      </c>
      <c r="P27" s="122" t="str">
        <f t="shared" ca="1" si="8"/>
        <v/>
      </c>
      <c r="Q27" s="122" t="str">
        <f t="shared" ca="1" si="8"/>
        <v/>
      </c>
      <c r="R27" s="122" t="str">
        <f t="shared" ca="1" si="8"/>
        <v/>
      </c>
      <c r="S27" s="122" t="str">
        <f t="shared" ca="1" si="8"/>
        <v/>
      </c>
      <c r="T27" s="122" t="str">
        <f t="shared" ca="1" si="8"/>
        <v/>
      </c>
      <c r="U27" s="122" t="str">
        <f t="shared" ca="1" si="8"/>
        <v/>
      </c>
      <c r="V27" s="122" t="str">
        <f t="shared" ca="1" si="8"/>
        <v/>
      </c>
      <c r="W27" s="122" t="str">
        <f t="shared" ca="1" si="8"/>
        <v/>
      </c>
      <c r="X27" s="122" t="str">
        <f t="shared" ca="1" si="8"/>
        <v/>
      </c>
      <c r="Y27" s="122" t="str">
        <f t="shared" ref="Y27:AM35" ca="1" si="11">IF(AND($C27="Goal",Y$7&gt;=$F27,Y$7&lt;=$F27+$G27-1),2,IF(AND($C27="Milestone",Y$7&gt;=$F27,Y$7&lt;=$F27+$G27-1),1,""))</f>
        <v/>
      </c>
      <c r="Z27" s="122" t="str">
        <f t="shared" ca="1" si="11"/>
        <v/>
      </c>
      <c r="AA27" s="122" t="str">
        <f t="shared" ca="1" si="11"/>
        <v/>
      </c>
      <c r="AB27" s="122" t="str">
        <f t="shared" ca="1" si="11"/>
        <v/>
      </c>
      <c r="AC27" s="122" t="str">
        <f t="shared" ca="1" si="11"/>
        <v/>
      </c>
      <c r="AD27" s="122" t="str">
        <f t="shared" ca="1" si="11"/>
        <v/>
      </c>
      <c r="AE27" s="122" t="str">
        <f t="shared" ca="1" si="11"/>
        <v/>
      </c>
      <c r="AF27" s="122" t="str">
        <f t="shared" ca="1" si="11"/>
        <v/>
      </c>
      <c r="AG27" s="122" t="str">
        <f t="shared" ca="1" si="11"/>
        <v/>
      </c>
      <c r="AH27" s="122" t="str">
        <f t="shared" ca="1" si="11"/>
        <v/>
      </c>
      <c r="AI27" s="122" t="str">
        <f t="shared" ca="1" si="11"/>
        <v/>
      </c>
      <c r="AJ27" s="122" t="str">
        <f t="shared" ca="1" si="11"/>
        <v/>
      </c>
      <c r="AK27" s="122" t="str">
        <f t="shared" ca="1" si="11"/>
        <v/>
      </c>
      <c r="AL27" s="122" t="str">
        <f t="shared" ca="1" si="11"/>
        <v/>
      </c>
      <c r="AM27" s="122" t="str">
        <f t="shared" ca="1" si="11"/>
        <v/>
      </c>
      <c r="AN27" s="122" t="str">
        <f t="shared" ca="1" si="9"/>
        <v/>
      </c>
      <c r="AO27" s="122">
        <f t="shared" ca="1" si="9"/>
        <v>2</v>
      </c>
      <c r="AP27" s="122">
        <f t="shared" ca="1" si="9"/>
        <v>2</v>
      </c>
      <c r="AQ27" s="122">
        <f t="shared" ca="1" si="9"/>
        <v>2</v>
      </c>
      <c r="AR27" s="122" t="str">
        <f t="shared" ca="1" si="9"/>
        <v/>
      </c>
      <c r="AS27" s="122" t="str">
        <f t="shared" ca="1" si="9"/>
        <v/>
      </c>
      <c r="AT27" s="122" t="str">
        <f t="shared" ca="1" si="9"/>
        <v/>
      </c>
      <c r="AU27" s="122" t="str">
        <f t="shared" ca="1" si="9"/>
        <v/>
      </c>
      <c r="AV27" s="122" t="str">
        <f t="shared" ca="1" si="9"/>
        <v/>
      </c>
      <c r="AW27" s="122" t="str">
        <f t="shared" ca="1" si="9"/>
        <v/>
      </c>
      <c r="AX27" s="122" t="str">
        <f t="shared" ca="1" si="9"/>
        <v/>
      </c>
      <c r="AY27" s="122" t="str">
        <f t="shared" ca="1" si="9"/>
        <v/>
      </c>
      <c r="AZ27" s="122" t="str">
        <f t="shared" ca="1" si="9"/>
        <v/>
      </c>
      <c r="BA27" s="122" t="str">
        <f t="shared" ca="1" si="9"/>
        <v/>
      </c>
      <c r="BB27" s="122" t="str">
        <f t="shared" ca="1" si="9"/>
        <v/>
      </c>
      <c r="BC27" s="122" t="str">
        <f t="shared" ca="1" si="9"/>
        <v/>
      </c>
      <c r="BD27" s="122" t="str">
        <f t="shared" ca="1" si="10"/>
        <v/>
      </c>
      <c r="BE27" s="122" t="str">
        <f t="shared" ca="1" si="10"/>
        <v/>
      </c>
      <c r="BF27" s="122" t="str">
        <f t="shared" ca="1" si="10"/>
        <v/>
      </c>
      <c r="BG27" s="122" t="str">
        <f t="shared" ca="1" si="10"/>
        <v/>
      </c>
      <c r="BH27" s="122" t="str">
        <f t="shared" ca="1" si="10"/>
        <v/>
      </c>
      <c r="BI27" s="122" t="str">
        <f t="shared" ca="1" si="10"/>
        <v/>
      </c>
      <c r="BJ27" s="122" t="str">
        <f t="shared" ca="1" si="10"/>
        <v/>
      </c>
      <c r="BK27" s="122" t="str">
        <f t="shared" ca="1" si="10"/>
        <v/>
      </c>
      <c r="BL27" s="122" t="str">
        <f t="shared" ca="1" si="10"/>
        <v/>
      </c>
      <c r="BM27" s="27"/>
    </row>
    <row r="28" spans="1:65" s="1" customFormat="1" ht="40" customHeight="1" x14ac:dyDescent="0.2">
      <c r="A28" s="9"/>
      <c r="B28" s="25" t="s">
        <v>100</v>
      </c>
      <c r="C28" s="21" t="s">
        <v>23</v>
      </c>
      <c r="D28" s="21"/>
      <c r="E28" s="22"/>
      <c r="F28" s="23">
        <f ca="1">F16</f>
        <v>45987</v>
      </c>
      <c r="G28" s="24">
        <v>19</v>
      </c>
      <c r="H28" s="19"/>
      <c r="I28" s="121" t="str">
        <f t="shared" ca="1" si="8"/>
        <v/>
      </c>
      <c r="J28" s="122" t="str">
        <f t="shared" ca="1" si="8"/>
        <v/>
      </c>
      <c r="K28" s="122" t="str">
        <f t="shared" ca="1" si="8"/>
        <v/>
      </c>
      <c r="L28" s="122" t="str">
        <f t="shared" ca="1" si="8"/>
        <v/>
      </c>
      <c r="M28" s="122" t="str">
        <f t="shared" ca="1" si="8"/>
        <v/>
      </c>
      <c r="N28" s="122" t="str">
        <f t="shared" ca="1" si="8"/>
        <v/>
      </c>
      <c r="O28" s="122" t="str">
        <f t="shared" ca="1" si="8"/>
        <v/>
      </c>
      <c r="P28" s="122" t="str">
        <f t="shared" ca="1" si="8"/>
        <v/>
      </c>
      <c r="Q28" s="122" t="str">
        <f t="shared" ca="1" si="8"/>
        <v/>
      </c>
      <c r="R28" s="122" t="str">
        <f t="shared" ca="1" si="8"/>
        <v/>
      </c>
      <c r="S28" s="122" t="str">
        <f t="shared" ca="1" si="8"/>
        <v/>
      </c>
      <c r="T28" s="122" t="str">
        <f t="shared" ca="1" si="8"/>
        <v/>
      </c>
      <c r="U28" s="122" t="str">
        <f t="shared" ca="1" si="8"/>
        <v/>
      </c>
      <c r="V28" s="122" t="str">
        <f t="shared" ca="1" si="8"/>
        <v/>
      </c>
      <c r="W28" s="122" t="str">
        <f t="shared" ca="1" si="8"/>
        <v/>
      </c>
      <c r="X28" s="122" t="str">
        <f t="shared" ca="1" si="8"/>
        <v/>
      </c>
      <c r="Y28" s="122" t="str">
        <f t="shared" ca="1" si="11"/>
        <v/>
      </c>
      <c r="Z28" s="122" t="str">
        <f t="shared" ca="1" si="11"/>
        <v/>
      </c>
      <c r="AA28" s="122" t="str">
        <f t="shared" ca="1" si="11"/>
        <v/>
      </c>
      <c r="AB28" s="122" t="str">
        <f t="shared" ca="1" si="11"/>
        <v/>
      </c>
      <c r="AC28" s="122" t="str">
        <f t="shared" ca="1" si="11"/>
        <v/>
      </c>
      <c r="AD28" s="122" t="str">
        <f t="shared" ca="1" si="11"/>
        <v/>
      </c>
      <c r="AE28" s="122" t="str">
        <f t="shared" ca="1" si="11"/>
        <v/>
      </c>
      <c r="AF28" s="122" t="str">
        <f t="shared" ca="1" si="11"/>
        <v/>
      </c>
      <c r="AG28" s="122" t="str">
        <f t="shared" ca="1" si="11"/>
        <v/>
      </c>
      <c r="AH28" s="122" t="str">
        <f t="shared" ca="1" si="11"/>
        <v/>
      </c>
      <c r="AI28" s="122" t="str">
        <f t="shared" ca="1" si="11"/>
        <v/>
      </c>
      <c r="AJ28" s="122" t="str">
        <f t="shared" ca="1" si="11"/>
        <v/>
      </c>
      <c r="AK28" s="122" t="str">
        <f t="shared" ca="1" si="11"/>
        <v/>
      </c>
      <c r="AL28" s="122" t="str">
        <f t="shared" ca="1" si="11"/>
        <v/>
      </c>
      <c r="AM28" s="122" t="str">
        <f t="shared" ca="1" si="11"/>
        <v/>
      </c>
      <c r="AN28" s="122" t="str">
        <f t="shared" ca="1" si="9"/>
        <v/>
      </c>
      <c r="AO28" s="122" t="str">
        <f t="shared" ca="1" si="9"/>
        <v/>
      </c>
      <c r="AP28" s="122" t="str">
        <f t="shared" ca="1" si="9"/>
        <v/>
      </c>
      <c r="AQ28" s="122" t="str">
        <f t="shared" ca="1" si="9"/>
        <v/>
      </c>
      <c r="AR28" s="122" t="str">
        <f t="shared" ca="1" si="9"/>
        <v/>
      </c>
      <c r="AS28" s="122" t="str">
        <f t="shared" ca="1" si="9"/>
        <v/>
      </c>
      <c r="AT28" s="122" t="str">
        <f t="shared" ca="1" si="9"/>
        <v/>
      </c>
      <c r="AU28" s="122" t="str">
        <f t="shared" ca="1" si="9"/>
        <v/>
      </c>
      <c r="AV28" s="122" t="str">
        <f t="shared" ca="1" si="9"/>
        <v/>
      </c>
      <c r="AW28" s="122" t="str">
        <f t="shared" ca="1" si="9"/>
        <v/>
      </c>
      <c r="AX28" s="122" t="str">
        <f t="shared" ca="1" si="9"/>
        <v/>
      </c>
      <c r="AY28" s="122" t="str">
        <f t="shared" ca="1" si="9"/>
        <v/>
      </c>
      <c r="AZ28" s="122" t="str">
        <f t="shared" ca="1" si="9"/>
        <v/>
      </c>
      <c r="BA28" s="122" t="str">
        <f t="shared" ca="1" si="9"/>
        <v/>
      </c>
      <c r="BB28" s="122" t="str">
        <f t="shared" ca="1" si="9"/>
        <v/>
      </c>
      <c r="BC28" s="122" t="str">
        <f t="shared" ca="1" si="9"/>
        <v/>
      </c>
      <c r="BD28" s="122" t="str">
        <f t="shared" ca="1" si="10"/>
        <v/>
      </c>
      <c r="BE28" s="122" t="str">
        <f t="shared" ca="1" si="10"/>
        <v/>
      </c>
      <c r="BF28" s="122" t="str">
        <f t="shared" ca="1" si="10"/>
        <v/>
      </c>
      <c r="BG28" s="122" t="str">
        <f t="shared" ca="1" si="10"/>
        <v/>
      </c>
      <c r="BH28" s="122" t="str">
        <f t="shared" ca="1" si="10"/>
        <v/>
      </c>
      <c r="BI28" s="122" t="str">
        <f t="shared" ca="1" si="10"/>
        <v/>
      </c>
      <c r="BJ28" s="122" t="str">
        <f t="shared" ca="1" si="10"/>
        <v/>
      </c>
      <c r="BK28" s="122" t="str">
        <f t="shared" ca="1" si="10"/>
        <v/>
      </c>
      <c r="BL28" s="122" t="str">
        <f t="shared" ca="1" si="10"/>
        <v/>
      </c>
      <c r="BM28" s="27"/>
    </row>
    <row r="29" spans="1:65" s="1" customFormat="1" ht="40" customHeight="1" x14ac:dyDescent="0.2">
      <c r="A29" s="9"/>
      <c r="B29" s="118" t="s">
        <v>104</v>
      </c>
      <c r="C29" s="21"/>
      <c r="D29" s="21"/>
      <c r="E29" s="22"/>
      <c r="F29" s="23"/>
      <c r="G29" s="24"/>
      <c r="H29" s="19"/>
      <c r="I29" s="121" t="str">
        <f t="shared" ref="I29:X35" ca="1" si="12">IF(AND($C29="Goal",I$7&gt;=$F29,I$7&lt;=$F29+$G29-1),2,IF(AND($C29="Milestone",I$7&gt;=$F29,I$7&lt;=$F29+$G29-1),1,""))</f>
        <v/>
      </c>
      <c r="J29" s="122" t="str">
        <f t="shared" ca="1" si="12"/>
        <v/>
      </c>
      <c r="K29" s="122" t="str">
        <f t="shared" ca="1" si="12"/>
        <v/>
      </c>
      <c r="L29" s="122" t="str">
        <f t="shared" ca="1" si="12"/>
        <v/>
      </c>
      <c r="M29" s="122" t="str">
        <f t="shared" ca="1" si="12"/>
        <v/>
      </c>
      <c r="N29" s="122" t="str">
        <f t="shared" ca="1" si="12"/>
        <v/>
      </c>
      <c r="O29" s="122" t="str">
        <f t="shared" ca="1" si="12"/>
        <v/>
      </c>
      <c r="P29" s="122" t="str">
        <f t="shared" ca="1" si="12"/>
        <v/>
      </c>
      <c r="Q29" s="122" t="str">
        <f t="shared" ca="1" si="12"/>
        <v/>
      </c>
      <c r="R29" s="122" t="str">
        <f t="shared" ca="1" si="12"/>
        <v/>
      </c>
      <c r="S29" s="122" t="str">
        <f t="shared" ca="1" si="12"/>
        <v/>
      </c>
      <c r="T29" s="122" t="str">
        <f t="shared" ca="1" si="12"/>
        <v/>
      </c>
      <c r="U29" s="122" t="str">
        <f t="shared" ca="1" si="12"/>
        <v/>
      </c>
      <c r="V29" s="122" t="str">
        <f t="shared" ca="1" si="12"/>
        <v/>
      </c>
      <c r="W29" s="122" t="str">
        <f t="shared" ca="1" si="12"/>
        <v/>
      </c>
      <c r="X29" s="122" t="str">
        <f t="shared" ca="1" si="12"/>
        <v/>
      </c>
      <c r="Y29" s="122" t="str">
        <f t="shared" ca="1" si="11"/>
        <v/>
      </c>
      <c r="Z29" s="122" t="str">
        <f t="shared" ca="1" si="11"/>
        <v/>
      </c>
      <c r="AA29" s="122" t="str">
        <f t="shared" ca="1" si="11"/>
        <v/>
      </c>
      <c r="AB29" s="122" t="str">
        <f t="shared" ca="1" si="11"/>
        <v/>
      </c>
      <c r="AC29" s="122" t="str">
        <f t="shared" ca="1" si="11"/>
        <v/>
      </c>
      <c r="AD29" s="122" t="str">
        <f t="shared" ca="1" si="11"/>
        <v/>
      </c>
      <c r="AE29" s="122" t="str">
        <f t="shared" ca="1" si="11"/>
        <v/>
      </c>
      <c r="AF29" s="122" t="str">
        <f t="shared" ca="1" si="11"/>
        <v/>
      </c>
      <c r="AG29" s="122" t="str">
        <f t="shared" ca="1" si="11"/>
        <v/>
      </c>
      <c r="AH29" s="122" t="str">
        <f t="shared" ca="1" si="11"/>
        <v/>
      </c>
      <c r="AI29" s="122" t="str">
        <f t="shared" ca="1" si="11"/>
        <v/>
      </c>
      <c r="AJ29" s="122" t="str">
        <f t="shared" ca="1" si="11"/>
        <v/>
      </c>
      <c r="AK29" s="122" t="str">
        <f t="shared" ca="1" si="11"/>
        <v/>
      </c>
      <c r="AL29" s="122" t="str">
        <f t="shared" ca="1" si="11"/>
        <v/>
      </c>
      <c r="AM29" s="122" t="str">
        <f t="shared" ca="1" si="11"/>
        <v/>
      </c>
      <c r="AN29" s="122" t="str">
        <f t="shared" ca="1" si="9"/>
        <v/>
      </c>
      <c r="AO29" s="122" t="str">
        <f t="shared" ca="1" si="9"/>
        <v/>
      </c>
      <c r="AP29" s="122" t="str">
        <f t="shared" ca="1" si="9"/>
        <v/>
      </c>
      <c r="AQ29" s="122" t="str">
        <f t="shared" ca="1" si="9"/>
        <v/>
      </c>
      <c r="AR29" s="122" t="str">
        <f t="shared" ca="1" si="9"/>
        <v/>
      </c>
      <c r="AS29" s="122" t="str">
        <f t="shared" ca="1" si="9"/>
        <v/>
      </c>
      <c r="AT29" s="122" t="str">
        <f t="shared" ca="1" si="9"/>
        <v/>
      </c>
      <c r="AU29" s="122" t="str">
        <f t="shared" ca="1" si="9"/>
        <v/>
      </c>
      <c r="AV29" s="122" t="str">
        <f t="shared" ca="1" si="9"/>
        <v/>
      </c>
      <c r="AW29" s="122" t="str">
        <f t="shared" ca="1" si="9"/>
        <v/>
      </c>
      <c r="AX29" s="122" t="str">
        <f t="shared" ca="1" si="9"/>
        <v/>
      </c>
      <c r="AY29" s="122" t="str">
        <f t="shared" ca="1" si="9"/>
        <v/>
      </c>
      <c r="AZ29" s="122" t="str">
        <f t="shared" ca="1" si="9"/>
        <v/>
      </c>
      <c r="BA29" s="122" t="str">
        <f t="shared" ca="1" si="9"/>
        <v/>
      </c>
      <c r="BB29" s="122" t="str">
        <f t="shared" ca="1" si="9"/>
        <v/>
      </c>
      <c r="BC29" s="122" t="str">
        <f t="shared" ca="1" si="9"/>
        <v/>
      </c>
      <c r="BD29" s="122" t="str">
        <f t="shared" ca="1" si="10"/>
        <v/>
      </c>
      <c r="BE29" s="122" t="str">
        <f t="shared" ca="1" si="10"/>
        <v/>
      </c>
      <c r="BF29" s="122" t="str">
        <f t="shared" ca="1" si="10"/>
        <v/>
      </c>
      <c r="BG29" s="122" t="str">
        <f t="shared" ca="1" si="10"/>
        <v/>
      </c>
      <c r="BH29" s="122" t="str">
        <f t="shared" ca="1" si="10"/>
        <v/>
      </c>
      <c r="BI29" s="122" t="str">
        <f t="shared" ca="1" si="10"/>
        <v/>
      </c>
      <c r="BJ29" s="122" t="str">
        <f t="shared" ca="1" si="10"/>
        <v/>
      </c>
      <c r="BK29" s="122" t="str">
        <f t="shared" ca="1" si="10"/>
        <v/>
      </c>
      <c r="BL29" s="122" t="str">
        <f t="shared" ca="1" si="10"/>
        <v/>
      </c>
      <c r="BM29" s="27"/>
    </row>
    <row r="30" spans="1:65" s="1" customFormat="1" ht="40" customHeight="1" x14ac:dyDescent="0.2">
      <c r="A30" s="9"/>
      <c r="B30" s="25" t="s">
        <v>93</v>
      </c>
      <c r="C30" s="21"/>
      <c r="D30" s="21"/>
      <c r="E30" s="22"/>
      <c r="F30" s="23">
        <f ca="1">F27+3</f>
        <v>46021</v>
      </c>
      <c r="G30" s="24">
        <v>15</v>
      </c>
      <c r="H30" s="19"/>
      <c r="I30" s="121" t="str">
        <f t="shared" ca="1" si="12"/>
        <v/>
      </c>
      <c r="J30" s="122" t="str">
        <f t="shared" ca="1" si="12"/>
        <v/>
      </c>
      <c r="K30" s="122" t="str">
        <f t="shared" ca="1" si="12"/>
        <v/>
      </c>
      <c r="L30" s="122" t="str">
        <f t="shared" ca="1" si="12"/>
        <v/>
      </c>
      <c r="M30" s="122" t="str">
        <f t="shared" ca="1" si="12"/>
        <v/>
      </c>
      <c r="N30" s="122" t="str">
        <f t="shared" ca="1" si="12"/>
        <v/>
      </c>
      <c r="O30" s="122" t="str">
        <f t="shared" ca="1" si="12"/>
        <v/>
      </c>
      <c r="P30" s="122" t="str">
        <f t="shared" ca="1" si="12"/>
        <v/>
      </c>
      <c r="Q30" s="122" t="str">
        <f t="shared" ca="1" si="12"/>
        <v/>
      </c>
      <c r="R30" s="122" t="str">
        <f t="shared" ca="1" si="12"/>
        <v/>
      </c>
      <c r="S30" s="122" t="str">
        <f t="shared" ca="1" si="12"/>
        <v/>
      </c>
      <c r="T30" s="122" t="str">
        <f t="shared" ca="1" si="12"/>
        <v/>
      </c>
      <c r="U30" s="122" t="str">
        <f t="shared" ca="1" si="12"/>
        <v/>
      </c>
      <c r="V30" s="122" t="str">
        <f t="shared" ca="1" si="12"/>
        <v/>
      </c>
      <c r="W30" s="122" t="str">
        <f t="shared" ca="1" si="12"/>
        <v/>
      </c>
      <c r="X30" s="122" t="str">
        <f t="shared" ca="1" si="12"/>
        <v/>
      </c>
      <c r="Y30" s="122" t="str">
        <f t="shared" ca="1" si="11"/>
        <v/>
      </c>
      <c r="Z30" s="122" t="str">
        <f t="shared" ca="1" si="11"/>
        <v/>
      </c>
      <c r="AA30" s="122" t="str">
        <f t="shared" ca="1" si="11"/>
        <v/>
      </c>
      <c r="AB30" s="122" t="str">
        <f t="shared" ca="1" si="11"/>
        <v/>
      </c>
      <c r="AC30" s="122" t="str">
        <f t="shared" ca="1" si="11"/>
        <v/>
      </c>
      <c r="AD30" s="122" t="str">
        <f t="shared" ca="1" si="11"/>
        <v/>
      </c>
      <c r="AE30" s="122" t="str">
        <f t="shared" ca="1" si="11"/>
        <v/>
      </c>
      <c r="AF30" s="122" t="str">
        <f t="shared" ca="1" si="11"/>
        <v/>
      </c>
      <c r="AG30" s="122" t="str">
        <f t="shared" ca="1" si="11"/>
        <v/>
      </c>
      <c r="AH30" s="122" t="str">
        <f t="shared" ca="1" si="11"/>
        <v/>
      </c>
      <c r="AI30" s="122" t="str">
        <f t="shared" ca="1" si="11"/>
        <v/>
      </c>
      <c r="AJ30" s="122" t="str">
        <f t="shared" ca="1" si="11"/>
        <v/>
      </c>
      <c r="AK30" s="122" t="str">
        <f t="shared" ca="1" si="11"/>
        <v/>
      </c>
      <c r="AL30" s="122" t="str">
        <f t="shared" ca="1" si="11"/>
        <v/>
      </c>
      <c r="AM30" s="122" t="str">
        <f t="shared" ca="1" si="11"/>
        <v/>
      </c>
      <c r="AN30" s="122" t="str">
        <f t="shared" ca="1" si="9"/>
        <v/>
      </c>
      <c r="AO30" s="122" t="str">
        <f t="shared" ca="1" si="9"/>
        <v/>
      </c>
      <c r="AP30" s="122" t="str">
        <f t="shared" ca="1" si="9"/>
        <v/>
      </c>
      <c r="AQ30" s="122" t="str">
        <f t="shared" ca="1" si="9"/>
        <v/>
      </c>
      <c r="AR30" s="122" t="str">
        <f t="shared" ca="1" si="9"/>
        <v/>
      </c>
      <c r="AS30" s="122" t="str">
        <f t="shared" ca="1" si="9"/>
        <v/>
      </c>
      <c r="AT30" s="122" t="str">
        <f t="shared" ca="1" si="9"/>
        <v/>
      </c>
      <c r="AU30" s="122" t="str">
        <f t="shared" ca="1" si="9"/>
        <v/>
      </c>
      <c r="AV30" s="122" t="str">
        <f t="shared" ca="1" si="9"/>
        <v/>
      </c>
      <c r="AW30" s="122" t="str">
        <f t="shared" ca="1" si="9"/>
        <v/>
      </c>
      <c r="AX30" s="122" t="str">
        <f t="shared" ca="1" si="9"/>
        <v/>
      </c>
      <c r="AY30" s="122" t="str">
        <f t="shared" ca="1" si="9"/>
        <v/>
      </c>
      <c r="AZ30" s="122" t="str">
        <f t="shared" ca="1" si="9"/>
        <v/>
      </c>
      <c r="BA30" s="122" t="str">
        <f t="shared" ca="1" si="9"/>
        <v/>
      </c>
      <c r="BB30" s="122" t="str">
        <f t="shared" ca="1" si="9"/>
        <v/>
      </c>
      <c r="BC30" s="122" t="str">
        <f t="shared" ca="1" si="9"/>
        <v/>
      </c>
      <c r="BD30" s="122" t="str">
        <f t="shared" ca="1" si="10"/>
        <v/>
      </c>
      <c r="BE30" s="122" t="str">
        <f t="shared" ca="1" si="10"/>
        <v/>
      </c>
      <c r="BF30" s="122" t="str">
        <f t="shared" ca="1" si="10"/>
        <v/>
      </c>
      <c r="BG30" s="122" t="str">
        <f t="shared" ca="1" si="10"/>
        <v/>
      </c>
      <c r="BH30" s="122" t="str">
        <f t="shared" ca="1" si="10"/>
        <v/>
      </c>
      <c r="BI30" s="122" t="str">
        <f t="shared" ca="1" si="10"/>
        <v/>
      </c>
      <c r="BJ30" s="122" t="str">
        <f t="shared" ca="1" si="10"/>
        <v/>
      </c>
      <c r="BK30" s="122" t="str">
        <f t="shared" ca="1" si="10"/>
        <v/>
      </c>
      <c r="BL30" s="122" t="str">
        <f t="shared" ca="1" si="10"/>
        <v/>
      </c>
      <c r="BM30" s="27"/>
    </row>
    <row r="31" spans="1:65" s="1" customFormat="1" ht="40" customHeight="1" x14ac:dyDescent="0.2">
      <c r="A31" s="9"/>
      <c r="B31" s="25" t="s">
        <v>96</v>
      </c>
      <c r="C31" s="21"/>
      <c r="D31" s="21"/>
      <c r="E31" s="22"/>
      <c r="F31" s="23">
        <f ca="1">F30+14</f>
        <v>46035</v>
      </c>
      <c r="G31" s="24">
        <v>5</v>
      </c>
      <c r="H31" s="19"/>
      <c r="I31" s="121" t="str">
        <f t="shared" ca="1" si="12"/>
        <v/>
      </c>
      <c r="J31" s="122" t="str">
        <f t="shared" ca="1" si="12"/>
        <v/>
      </c>
      <c r="K31" s="122" t="str">
        <f t="shared" ca="1" si="12"/>
        <v/>
      </c>
      <c r="L31" s="122" t="str">
        <f t="shared" ca="1" si="12"/>
        <v/>
      </c>
      <c r="M31" s="122" t="str">
        <f t="shared" ca="1" si="12"/>
        <v/>
      </c>
      <c r="N31" s="122" t="str">
        <f t="shared" ca="1" si="12"/>
        <v/>
      </c>
      <c r="O31" s="122" t="str">
        <f t="shared" ca="1" si="12"/>
        <v/>
      </c>
      <c r="P31" s="122" t="str">
        <f t="shared" ca="1" si="12"/>
        <v/>
      </c>
      <c r="Q31" s="122" t="str">
        <f t="shared" ca="1" si="12"/>
        <v/>
      </c>
      <c r="R31" s="122" t="str">
        <f t="shared" ca="1" si="12"/>
        <v/>
      </c>
      <c r="S31" s="122" t="str">
        <f t="shared" ca="1" si="12"/>
        <v/>
      </c>
      <c r="T31" s="122" t="str">
        <f t="shared" ca="1" si="12"/>
        <v/>
      </c>
      <c r="U31" s="122" t="str">
        <f t="shared" ca="1" si="12"/>
        <v/>
      </c>
      <c r="V31" s="122" t="str">
        <f t="shared" ca="1" si="12"/>
        <v/>
      </c>
      <c r="W31" s="122" t="str">
        <f t="shared" ca="1" si="12"/>
        <v/>
      </c>
      <c r="X31" s="122" t="str">
        <f t="shared" ca="1" si="12"/>
        <v/>
      </c>
      <c r="Y31" s="122" t="str">
        <f t="shared" ca="1" si="11"/>
        <v/>
      </c>
      <c r="Z31" s="122" t="str">
        <f t="shared" ca="1" si="11"/>
        <v/>
      </c>
      <c r="AA31" s="122" t="str">
        <f t="shared" ca="1" si="11"/>
        <v/>
      </c>
      <c r="AB31" s="122" t="str">
        <f t="shared" ca="1" si="11"/>
        <v/>
      </c>
      <c r="AC31" s="122" t="str">
        <f t="shared" ca="1" si="11"/>
        <v/>
      </c>
      <c r="AD31" s="122" t="str">
        <f t="shared" ca="1" si="11"/>
        <v/>
      </c>
      <c r="AE31" s="122" t="str">
        <f t="shared" ca="1" si="11"/>
        <v/>
      </c>
      <c r="AF31" s="122" t="str">
        <f t="shared" ca="1" si="11"/>
        <v/>
      </c>
      <c r="AG31" s="122" t="str">
        <f t="shared" ca="1" si="11"/>
        <v/>
      </c>
      <c r="AH31" s="122" t="str">
        <f t="shared" ca="1" si="11"/>
        <v/>
      </c>
      <c r="AI31" s="122" t="str">
        <f t="shared" ca="1" si="11"/>
        <v/>
      </c>
      <c r="AJ31" s="122" t="str">
        <f t="shared" ca="1" si="11"/>
        <v/>
      </c>
      <c r="AK31" s="122" t="str">
        <f t="shared" ca="1" si="11"/>
        <v/>
      </c>
      <c r="AL31" s="122" t="str">
        <f t="shared" ca="1" si="11"/>
        <v/>
      </c>
      <c r="AM31" s="122" t="str">
        <f t="shared" ca="1" si="11"/>
        <v/>
      </c>
      <c r="AN31" s="122" t="str">
        <f t="shared" ca="1" si="9"/>
        <v/>
      </c>
      <c r="AO31" s="122" t="str">
        <f t="shared" ca="1" si="9"/>
        <v/>
      </c>
      <c r="AP31" s="122" t="str">
        <f t="shared" ca="1" si="9"/>
        <v/>
      </c>
      <c r="AQ31" s="122" t="str">
        <f t="shared" ca="1" si="9"/>
        <v/>
      </c>
      <c r="AR31" s="122" t="str">
        <f t="shared" ca="1" si="9"/>
        <v/>
      </c>
      <c r="AS31" s="122" t="str">
        <f t="shared" ca="1" si="9"/>
        <v/>
      </c>
      <c r="AT31" s="122" t="str">
        <f t="shared" ca="1" si="9"/>
        <v/>
      </c>
      <c r="AU31" s="122" t="str">
        <f t="shared" ca="1" si="9"/>
        <v/>
      </c>
      <c r="AV31" s="122" t="str">
        <f t="shared" ca="1" si="9"/>
        <v/>
      </c>
      <c r="AW31" s="122" t="str">
        <f t="shared" ca="1" si="9"/>
        <v/>
      </c>
      <c r="AX31" s="122" t="str">
        <f t="shared" ca="1" si="9"/>
        <v/>
      </c>
      <c r="AY31" s="122" t="str">
        <f t="shared" ca="1" si="9"/>
        <v/>
      </c>
      <c r="AZ31" s="122" t="str">
        <f t="shared" ca="1" si="9"/>
        <v/>
      </c>
      <c r="BA31" s="122" t="str">
        <f t="shared" ca="1" si="9"/>
        <v/>
      </c>
      <c r="BB31" s="122" t="str">
        <f t="shared" ca="1" si="9"/>
        <v/>
      </c>
      <c r="BC31" s="122" t="str">
        <f t="shared" ca="1" si="9"/>
        <v/>
      </c>
      <c r="BD31" s="122" t="str">
        <f t="shared" ca="1" si="10"/>
        <v/>
      </c>
      <c r="BE31" s="122" t="str">
        <f t="shared" ca="1" si="10"/>
        <v/>
      </c>
      <c r="BF31" s="122" t="str">
        <f t="shared" ca="1" si="10"/>
        <v/>
      </c>
      <c r="BG31" s="122" t="str">
        <f t="shared" ca="1" si="10"/>
        <v/>
      </c>
      <c r="BH31" s="122" t="str">
        <f t="shared" ca="1" si="10"/>
        <v/>
      </c>
      <c r="BI31" s="122" t="str">
        <f t="shared" ca="1" si="10"/>
        <v/>
      </c>
      <c r="BJ31" s="122" t="str">
        <f t="shared" ca="1" si="10"/>
        <v/>
      </c>
      <c r="BK31" s="122" t="str">
        <f t="shared" ca="1" si="10"/>
        <v/>
      </c>
      <c r="BL31" s="122" t="str">
        <f t="shared" ca="1" si="10"/>
        <v/>
      </c>
      <c r="BM31" s="27"/>
    </row>
    <row r="32" spans="1:65" s="1" customFormat="1" ht="40" customHeight="1" x14ac:dyDescent="0.2">
      <c r="A32" s="9"/>
      <c r="B32" s="25" t="s">
        <v>98</v>
      </c>
      <c r="C32" s="21" t="s">
        <v>97</v>
      </c>
      <c r="D32" s="21"/>
      <c r="E32" s="22"/>
      <c r="F32" s="23">
        <f ca="1">F31+42</f>
        <v>46077</v>
      </c>
      <c r="G32" s="24">
        <v>1</v>
      </c>
      <c r="H32" s="19"/>
      <c r="I32" s="121" t="str">
        <f t="shared" ca="1" si="12"/>
        <v/>
      </c>
      <c r="J32" s="122" t="str">
        <f t="shared" ca="1" si="12"/>
        <v/>
      </c>
      <c r="K32" s="122" t="str">
        <f t="shared" ca="1" si="12"/>
        <v/>
      </c>
      <c r="L32" s="122" t="str">
        <f t="shared" ca="1" si="12"/>
        <v/>
      </c>
      <c r="M32" s="122" t="str">
        <f t="shared" ca="1" si="12"/>
        <v/>
      </c>
      <c r="N32" s="122" t="str">
        <f t="shared" ca="1" si="12"/>
        <v/>
      </c>
      <c r="O32" s="122" t="str">
        <f t="shared" ca="1" si="12"/>
        <v/>
      </c>
      <c r="P32" s="122" t="str">
        <f t="shared" ca="1" si="12"/>
        <v/>
      </c>
      <c r="Q32" s="122" t="str">
        <f t="shared" ca="1" si="12"/>
        <v/>
      </c>
      <c r="R32" s="122" t="str">
        <f t="shared" ca="1" si="12"/>
        <v/>
      </c>
      <c r="S32" s="122" t="str">
        <f t="shared" ca="1" si="12"/>
        <v/>
      </c>
      <c r="T32" s="122" t="str">
        <f t="shared" ca="1" si="12"/>
        <v/>
      </c>
      <c r="U32" s="122" t="str">
        <f t="shared" ca="1" si="12"/>
        <v/>
      </c>
      <c r="V32" s="122" t="str">
        <f t="shared" ca="1" si="12"/>
        <v/>
      </c>
      <c r="W32" s="122" t="str">
        <f t="shared" ca="1" si="12"/>
        <v/>
      </c>
      <c r="X32" s="122" t="str">
        <f t="shared" ca="1" si="12"/>
        <v/>
      </c>
      <c r="Y32" s="122" t="str">
        <f t="shared" ca="1" si="11"/>
        <v/>
      </c>
      <c r="Z32" s="122" t="str">
        <f t="shared" ca="1" si="11"/>
        <v/>
      </c>
      <c r="AA32" s="122" t="str">
        <f t="shared" ca="1" si="11"/>
        <v/>
      </c>
      <c r="AB32" s="122" t="str">
        <f t="shared" ca="1" si="11"/>
        <v/>
      </c>
      <c r="AC32" s="122" t="str">
        <f t="shared" ca="1" si="11"/>
        <v/>
      </c>
      <c r="AD32" s="122" t="str">
        <f t="shared" ca="1" si="11"/>
        <v/>
      </c>
      <c r="AE32" s="122" t="str">
        <f t="shared" ca="1" si="11"/>
        <v/>
      </c>
      <c r="AF32" s="122" t="str">
        <f t="shared" ca="1" si="11"/>
        <v/>
      </c>
      <c r="AG32" s="122" t="str">
        <f t="shared" ca="1" si="11"/>
        <v/>
      </c>
      <c r="AH32" s="122" t="str">
        <f t="shared" ca="1" si="11"/>
        <v/>
      </c>
      <c r="AI32" s="122" t="str">
        <f t="shared" ca="1" si="11"/>
        <v/>
      </c>
      <c r="AJ32" s="122" t="str">
        <f t="shared" ca="1" si="11"/>
        <v/>
      </c>
      <c r="AK32" s="122" t="str">
        <f t="shared" ca="1" si="11"/>
        <v/>
      </c>
      <c r="AL32" s="122" t="str">
        <f t="shared" ca="1" si="11"/>
        <v/>
      </c>
      <c r="AM32" s="122" t="str">
        <f t="shared" ca="1" si="11"/>
        <v/>
      </c>
      <c r="AN32" s="122" t="str">
        <f t="shared" ca="1" si="9"/>
        <v/>
      </c>
      <c r="AO32" s="122" t="str">
        <f t="shared" ca="1" si="9"/>
        <v/>
      </c>
      <c r="AP32" s="122" t="str">
        <f t="shared" ca="1" si="9"/>
        <v/>
      </c>
      <c r="AQ32" s="122" t="str">
        <f t="shared" ca="1" si="9"/>
        <v/>
      </c>
      <c r="AR32" s="122" t="str">
        <f t="shared" ca="1" si="9"/>
        <v/>
      </c>
      <c r="AS32" s="122" t="str">
        <f t="shared" ca="1" si="9"/>
        <v/>
      </c>
      <c r="AT32" s="122" t="str">
        <f t="shared" ca="1" si="9"/>
        <v/>
      </c>
      <c r="AU32" s="122" t="str">
        <f t="shared" ca="1" si="9"/>
        <v/>
      </c>
      <c r="AV32" s="122" t="str">
        <f t="shared" ca="1" si="9"/>
        <v/>
      </c>
      <c r="AW32" s="122" t="str">
        <f t="shared" ca="1" si="9"/>
        <v/>
      </c>
      <c r="AX32" s="122" t="str">
        <f t="shared" ca="1" si="9"/>
        <v/>
      </c>
      <c r="AY32" s="122" t="str">
        <f t="shared" ca="1" si="9"/>
        <v/>
      </c>
      <c r="AZ32" s="122" t="str">
        <f t="shared" ca="1" si="9"/>
        <v/>
      </c>
      <c r="BA32" s="122" t="str">
        <f t="shared" ca="1" si="9"/>
        <v/>
      </c>
      <c r="BB32" s="122" t="str">
        <f t="shared" ca="1" si="9"/>
        <v/>
      </c>
      <c r="BC32" s="122" t="str">
        <f t="shared" ca="1" si="9"/>
        <v/>
      </c>
      <c r="BD32" s="122" t="str">
        <f t="shared" ca="1" si="10"/>
        <v/>
      </c>
      <c r="BE32" s="122" t="str">
        <f t="shared" ca="1" si="10"/>
        <v/>
      </c>
      <c r="BF32" s="122" t="str">
        <f t="shared" ca="1" si="10"/>
        <v/>
      </c>
      <c r="BG32" s="122" t="str">
        <f t="shared" ca="1" si="10"/>
        <v/>
      </c>
      <c r="BH32" s="122" t="str">
        <f t="shared" ca="1" si="10"/>
        <v/>
      </c>
      <c r="BI32" s="122" t="str">
        <f t="shared" ca="1" si="10"/>
        <v/>
      </c>
      <c r="BJ32" s="122" t="str">
        <f t="shared" ca="1" si="10"/>
        <v/>
      </c>
      <c r="BK32" s="122" t="str">
        <f t="shared" ca="1" si="10"/>
        <v/>
      </c>
      <c r="BL32" s="122" t="str">
        <f t="shared" ca="1" si="10"/>
        <v/>
      </c>
      <c r="BM32" s="27"/>
    </row>
    <row r="33" spans="1:65" s="1" customFormat="1" ht="40" customHeight="1" x14ac:dyDescent="0.2">
      <c r="A33" s="9"/>
      <c r="B33" s="25" t="s">
        <v>99</v>
      </c>
      <c r="C33" s="21"/>
      <c r="D33" s="21"/>
      <c r="E33" s="22"/>
      <c r="F33" s="23"/>
      <c r="G33" s="24"/>
      <c r="H33" s="19"/>
      <c r="I33" s="121" t="str">
        <f t="shared" ca="1" si="12"/>
        <v/>
      </c>
      <c r="J33" s="122" t="str">
        <f t="shared" ca="1" si="12"/>
        <v/>
      </c>
      <c r="K33" s="122" t="str">
        <f t="shared" ca="1" si="12"/>
        <v/>
      </c>
      <c r="L33" s="122" t="str">
        <f t="shared" ca="1" si="12"/>
        <v/>
      </c>
      <c r="M33" s="122" t="str">
        <f t="shared" ca="1" si="12"/>
        <v/>
      </c>
      <c r="N33" s="122" t="str">
        <f t="shared" ca="1" si="12"/>
        <v/>
      </c>
      <c r="O33" s="122" t="str">
        <f t="shared" ca="1" si="12"/>
        <v/>
      </c>
      <c r="P33" s="122" t="str">
        <f t="shared" ca="1" si="12"/>
        <v/>
      </c>
      <c r="Q33" s="122" t="str">
        <f t="shared" ca="1" si="12"/>
        <v/>
      </c>
      <c r="R33" s="122" t="str">
        <f t="shared" ca="1" si="12"/>
        <v/>
      </c>
      <c r="S33" s="122" t="str">
        <f t="shared" ca="1" si="12"/>
        <v/>
      </c>
      <c r="T33" s="122" t="str">
        <f t="shared" ca="1" si="12"/>
        <v/>
      </c>
      <c r="U33" s="122" t="str">
        <f t="shared" ca="1" si="12"/>
        <v/>
      </c>
      <c r="V33" s="122" t="str">
        <f t="shared" ca="1" si="12"/>
        <v/>
      </c>
      <c r="W33" s="122" t="str">
        <f t="shared" ca="1" si="12"/>
        <v/>
      </c>
      <c r="X33" s="122" t="str">
        <f t="shared" ca="1" si="12"/>
        <v/>
      </c>
      <c r="Y33" s="122" t="str">
        <f t="shared" ca="1" si="11"/>
        <v/>
      </c>
      <c r="Z33" s="122" t="str">
        <f t="shared" ca="1" si="11"/>
        <v/>
      </c>
      <c r="AA33" s="122" t="str">
        <f t="shared" ca="1" si="11"/>
        <v/>
      </c>
      <c r="AB33" s="122" t="str">
        <f t="shared" ca="1" si="11"/>
        <v/>
      </c>
      <c r="AC33" s="122" t="str">
        <f t="shared" ca="1" si="11"/>
        <v/>
      </c>
      <c r="AD33" s="122" t="str">
        <f t="shared" ca="1" si="11"/>
        <v/>
      </c>
      <c r="AE33" s="122" t="str">
        <f t="shared" ca="1" si="11"/>
        <v/>
      </c>
      <c r="AF33" s="122" t="str">
        <f t="shared" ca="1" si="11"/>
        <v/>
      </c>
      <c r="AG33" s="122" t="str">
        <f t="shared" ca="1" si="11"/>
        <v/>
      </c>
      <c r="AH33" s="122" t="str">
        <f t="shared" ca="1" si="11"/>
        <v/>
      </c>
      <c r="AI33" s="122" t="str">
        <f t="shared" ca="1" si="11"/>
        <v/>
      </c>
      <c r="AJ33" s="122" t="str">
        <f t="shared" ca="1" si="11"/>
        <v/>
      </c>
      <c r="AK33" s="122" t="str">
        <f t="shared" ca="1" si="11"/>
        <v/>
      </c>
      <c r="AL33" s="122" t="str">
        <f t="shared" ca="1" si="11"/>
        <v/>
      </c>
      <c r="AM33" s="122" t="str">
        <f t="shared" ca="1" si="11"/>
        <v/>
      </c>
      <c r="AN33" s="122" t="str">
        <f t="shared" ca="1" si="9"/>
        <v/>
      </c>
      <c r="AO33" s="122" t="str">
        <f t="shared" ca="1" si="9"/>
        <v/>
      </c>
      <c r="AP33" s="122" t="str">
        <f t="shared" ca="1" si="9"/>
        <v/>
      </c>
      <c r="AQ33" s="122" t="str">
        <f t="shared" ca="1" si="9"/>
        <v/>
      </c>
      <c r="AR33" s="122" t="str">
        <f t="shared" ca="1" si="9"/>
        <v/>
      </c>
      <c r="AS33" s="122" t="str">
        <f t="shared" ca="1" si="9"/>
        <v/>
      </c>
      <c r="AT33" s="122" t="str">
        <f t="shared" ca="1" si="9"/>
        <v/>
      </c>
      <c r="AU33" s="122" t="str">
        <f t="shared" ca="1" si="9"/>
        <v/>
      </c>
      <c r="AV33" s="122" t="str">
        <f t="shared" ca="1" si="9"/>
        <v/>
      </c>
      <c r="AW33" s="122" t="str">
        <f t="shared" ca="1" si="9"/>
        <v/>
      </c>
      <c r="AX33" s="122" t="str">
        <f t="shared" ca="1" si="9"/>
        <v/>
      </c>
      <c r="AY33" s="122" t="str">
        <f t="shared" ca="1" si="9"/>
        <v/>
      </c>
      <c r="AZ33" s="122" t="str">
        <f t="shared" ca="1" si="9"/>
        <v/>
      </c>
      <c r="BA33" s="122" t="str">
        <f t="shared" ca="1" si="9"/>
        <v/>
      </c>
      <c r="BB33" s="122" t="str">
        <f t="shared" ca="1" si="9"/>
        <v/>
      </c>
      <c r="BC33" s="122" t="str">
        <f t="shared" ca="1" si="9"/>
        <v/>
      </c>
      <c r="BD33" s="122" t="str">
        <f t="shared" ca="1" si="10"/>
        <v/>
      </c>
      <c r="BE33" s="122" t="str">
        <f t="shared" ca="1" si="10"/>
        <v/>
      </c>
      <c r="BF33" s="122" t="str">
        <f t="shared" ca="1" si="10"/>
        <v/>
      </c>
      <c r="BG33" s="122" t="str">
        <f t="shared" ca="1" si="10"/>
        <v/>
      </c>
      <c r="BH33" s="122" t="str">
        <f t="shared" ca="1" si="10"/>
        <v/>
      </c>
      <c r="BI33" s="122" t="str">
        <f t="shared" ca="1" si="10"/>
        <v/>
      </c>
      <c r="BJ33" s="122" t="str">
        <f t="shared" ca="1" si="10"/>
        <v/>
      </c>
      <c r="BK33" s="122" t="str">
        <f t="shared" ca="1" si="10"/>
        <v/>
      </c>
      <c r="BL33" s="122" t="str">
        <f t="shared" ca="1" si="10"/>
        <v/>
      </c>
      <c r="BM33" s="27"/>
    </row>
    <row r="34" spans="1:65" s="1" customFormat="1" ht="40" customHeight="1" x14ac:dyDescent="0.2">
      <c r="A34" s="9"/>
      <c r="B34" s="25" t="s">
        <v>100</v>
      </c>
      <c r="C34" s="21"/>
      <c r="D34" s="21"/>
      <c r="E34" s="22"/>
      <c r="F34" s="23"/>
      <c r="G34" s="24"/>
      <c r="H34" s="19"/>
      <c r="I34" s="121" t="str">
        <f t="shared" ca="1" si="12"/>
        <v/>
      </c>
      <c r="J34" s="122" t="str">
        <f t="shared" ca="1" si="12"/>
        <v/>
      </c>
      <c r="K34" s="122" t="str">
        <f t="shared" ca="1" si="12"/>
        <v/>
      </c>
      <c r="L34" s="122" t="str">
        <f t="shared" ca="1" si="12"/>
        <v/>
      </c>
      <c r="M34" s="122" t="str">
        <f t="shared" ca="1" si="12"/>
        <v/>
      </c>
      <c r="N34" s="122" t="str">
        <f t="shared" ca="1" si="12"/>
        <v/>
      </c>
      <c r="O34" s="122" t="str">
        <f t="shared" ca="1" si="12"/>
        <v/>
      </c>
      <c r="P34" s="122" t="str">
        <f t="shared" ca="1" si="12"/>
        <v/>
      </c>
      <c r="Q34" s="122" t="str">
        <f t="shared" ca="1" si="12"/>
        <v/>
      </c>
      <c r="R34" s="122" t="str">
        <f t="shared" ca="1" si="12"/>
        <v/>
      </c>
      <c r="S34" s="122" t="str">
        <f t="shared" ca="1" si="12"/>
        <v/>
      </c>
      <c r="T34" s="122" t="str">
        <f t="shared" ca="1" si="12"/>
        <v/>
      </c>
      <c r="U34" s="122" t="str">
        <f t="shared" ca="1" si="12"/>
        <v/>
      </c>
      <c r="V34" s="122" t="str">
        <f t="shared" ca="1" si="12"/>
        <v/>
      </c>
      <c r="W34" s="122" t="str">
        <f t="shared" ca="1" si="12"/>
        <v/>
      </c>
      <c r="X34" s="122" t="str">
        <f t="shared" ca="1" si="12"/>
        <v/>
      </c>
      <c r="Y34" s="122" t="str">
        <f t="shared" ca="1" si="11"/>
        <v/>
      </c>
      <c r="Z34" s="122" t="str">
        <f t="shared" ca="1" si="11"/>
        <v/>
      </c>
      <c r="AA34" s="122" t="str">
        <f t="shared" ca="1" si="11"/>
        <v/>
      </c>
      <c r="AB34" s="122" t="str">
        <f t="shared" ca="1" si="11"/>
        <v/>
      </c>
      <c r="AC34" s="122" t="str">
        <f t="shared" ca="1" si="11"/>
        <v/>
      </c>
      <c r="AD34" s="122" t="str">
        <f t="shared" ca="1" si="11"/>
        <v/>
      </c>
      <c r="AE34" s="122" t="str">
        <f t="shared" ca="1" si="11"/>
        <v/>
      </c>
      <c r="AF34" s="122" t="str">
        <f t="shared" ca="1" si="11"/>
        <v/>
      </c>
      <c r="AG34" s="122" t="str">
        <f t="shared" ca="1" si="11"/>
        <v/>
      </c>
      <c r="AH34" s="122" t="str">
        <f t="shared" ca="1" si="11"/>
        <v/>
      </c>
      <c r="AI34" s="122" t="str">
        <f t="shared" ca="1" si="11"/>
        <v/>
      </c>
      <c r="AJ34" s="122" t="str">
        <f t="shared" ca="1" si="11"/>
        <v/>
      </c>
      <c r="AK34" s="122" t="str">
        <f t="shared" ca="1" si="11"/>
        <v/>
      </c>
      <c r="AL34" s="122" t="str">
        <f t="shared" ca="1" si="11"/>
        <v/>
      </c>
      <c r="AM34" s="122" t="str">
        <f t="shared" ca="1" si="11"/>
        <v/>
      </c>
      <c r="AN34" s="122" t="str">
        <f t="shared" ca="1" si="9"/>
        <v/>
      </c>
      <c r="AO34" s="122" t="str">
        <f t="shared" ca="1" si="9"/>
        <v/>
      </c>
      <c r="AP34" s="122" t="str">
        <f t="shared" ca="1" si="9"/>
        <v/>
      </c>
      <c r="AQ34" s="122" t="str">
        <f t="shared" ca="1" si="9"/>
        <v/>
      </c>
      <c r="AR34" s="122" t="str">
        <f t="shared" ca="1" si="9"/>
        <v/>
      </c>
      <c r="AS34" s="122" t="str">
        <f t="shared" ca="1" si="9"/>
        <v/>
      </c>
      <c r="AT34" s="122" t="str">
        <f t="shared" ca="1" si="9"/>
        <v/>
      </c>
      <c r="AU34" s="122" t="str">
        <f t="shared" ca="1" si="9"/>
        <v/>
      </c>
      <c r="AV34" s="122" t="str">
        <f t="shared" ca="1" si="9"/>
        <v/>
      </c>
      <c r="AW34" s="122" t="str">
        <f t="shared" ca="1" si="9"/>
        <v/>
      </c>
      <c r="AX34" s="122" t="str">
        <f t="shared" ca="1" si="9"/>
        <v/>
      </c>
      <c r="AY34" s="122" t="str">
        <f t="shared" ca="1" si="9"/>
        <v/>
      </c>
      <c r="AZ34" s="122" t="str">
        <f t="shared" ca="1" si="9"/>
        <v/>
      </c>
      <c r="BA34" s="122" t="str">
        <f t="shared" ca="1" si="9"/>
        <v/>
      </c>
      <c r="BB34" s="122" t="str">
        <f t="shared" ca="1" si="9"/>
        <v/>
      </c>
      <c r="BC34" s="122" t="str">
        <f t="shared" ca="1" si="9"/>
        <v/>
      </c>
      <c r="BD34" s="122" t="str">
        <f t="shared" ca="1" si="10"/>
        <v/>
      </c>
      <c r="BE34" s="122" t="str">
        <f t="shared" ca="1" si="10"/>
        <v/>
      </c>
      <c r="BF34" s="122" t="str">
        <f t="shared" ca="1" si="10"/>
        <v/>
      </c>
      <c r="BG34" s="122" t="str">
        <f t="shared" ca="1" si="10"/>
        <v/>
      </c>
      <c r="BH34" s="122" t="str">
        <f t="shared" ca="1" si="10"/>
        <v/>
      </c>
      <c r="BI34" s="122" t="str">
        <f t="shared" ca="1" si="10"/>
        <v/>
      </c>
      <c r="BJ34" s="122" t="str">
        <f t="shared" ca="1" si="10"/>
        <v/>
      </c>
      <c r="BK34" s="122" t="str">
        <f t="shared" ca="1" si="10"/>
        <v/>
      </c>
      <c r="BL34" s="122" t="str">
        <f t="shared" ca="1" si="10"/>
        <v/>
      </c>
      <c r="BM34" s="27"/>
    </row>
    <row r="35" spans="1:65" s="1" customFormat="1" ht="40" customHeight="1" x14ac:dyDescent="0.2">
      <c r="A35" s="9"/>
      <c r="B35" s="25"/>
      <c r="C35" s="21"/>
      <c r="D35" s="21"/>
      <c r="E35" s="22"/>
      <c r="F35" s="23"/>
      <c r="G35" s="24"/>
      <c r="H35" s="19"/>
      <c r="I35" s="121" t="str">
        <f t="shared" ca="1" si="12"/>
        <v/>
      </c>
      <c r="J35" s="122" t="str">
        <f t="shared" ca="1" si="12"/>
        <v/>
      </c>
      <c r="K35" s="122" t="str">
        <f t="shared" ca="1" si="12"/>
        <v/>
      </c>
      <c r="L35" s="122" t="str">
        <f t="shared" ca="1" si="12"/>
        <v/>
      </c>
      <c r="M35" s="122" t="str">
        <f t="shared" ca="1" si="12"/>
        <v/>
      </c>
      <c r="N35" s="122" t="str">
        <f t="shared" ca="1" si="12"/>
        <v/>
      </c>
      <c r="O35" s="122" t="str">
        <f t="shared" ca="1" si="12"/>
        <v/>
      </c>
      <c r="P35" s="122" t="str">
        <f t="shared" ca="1" si="12"/>
        <v/>
      </c>
      <c r="Q35" s="122" t="str">
        <f t="shared" ca="1" si="12"/>
        <v/>
      </c>
      <c r="R35" s="122" t="str">
        <f t="shared" ca="1" si="12"/>
        <v/>
      </c>
      <c r="S35" s="122" t="str">
        <f t="shared" ca="1" si="12"/>
        <v/>
      </c>
      <c r="T35" s="122" t="str">
        <f t="shared" ca="1" si="12"/>
        <v/>
      </c>
      <c r="U35" s="122" t="str">
        <f t="shared" ca="1" si="12"/>
        <v/>
      </c>
      <c r="V35" s="122" t="str">
        <f t="shared" ca="1" si="12"/>
        <v/>
      </c>
      <c r="W35" s="122" t="str">
        <f t="shared" ca="1" si="12"/>
        <v/>
      </c>
      <c r="X35" s="122" t="str">
        <f t="shared" ca="1" si="12"/>
        <v/>
      </c>
      <c r="Y35" s="122" t="str">
        <f t="shared" ca="1" si="11"/>
        <v/>
      </c>
      <c r="Z35" s="122" t="str">
        <f t="shared" ca="1" si="11"/>
        <v/>
      </c>
      <c r="AA35" s="122" t="str">
        <f t="shared" ca="1" si="11"/>
        <v/>
      </c>
      <c r="AB35" s="122" t="str">
        <f t="shared" ca="1" si="11"/>
        <v/>
      </c>
      <c r="AC35" s="122" t="str">
        <f t="shared" ca="1" si="11"/>
        <v/>
      </c>
      <c r="AD35" s="122" t="str">
        <f t="shared" ca="1" si="11"/>
        <v/>
      </c>
      <c r="AE35" s="122" t="str">
        <f t="shared" ca="1" si="11"/>
        <v/>
      </c>
      <c r="AF35" s="122" t="str">
        <f t="shared" ca="1" si="11"/>
        <v/>
      </c>
      <c r="AG35" s="122" t="str">
        <f t="shared" ca="1" si="11"/>
        <v/>
      </c>
      <c r="AH35" s="122" t="str">
        <f t="shared" ca="1" si="11"/>
        <v/>
      </c>
      <c r="AI35" s="122" t="str">
        <f t="shared" ca="1" si="11"/>
        <v/>
      </c>
      <c r="AJ35" s="122" t="str">
        <f t="shared" ca="1" si="11"/>
        <v/>
      </c>
      <c r="AK35" s="122" t="str">
        <f t="shared" ca="1" si="11"/>
        <v/>
      </c>
      <c r="AL35" s="122" t="str">
        <f t="shared" ca="1" si="11"/>
        <v/>
      </c>
      <c r="AM35" s="122" t="str">
        <f t="shared" ca="1" si="11"/>
        <v/>
      </c>
      <c r="AN35" s="122" t="str">
        <f t="shared" ca="1" si="9"/>
        <v/>
      </c>
      <c r="AO35" s="122" t="str">
        <f t="shared" ca="1" si="9"/>
        <v/>
      </c>
      <c r="AP35" s="122" t="str">
        <f t="shared" ca="1" si="9"/>
        <v/>
      </c>
      <c r="AQ35" s="122" t="str">
        <f t="shared" ca="1" si="9"/>
        <v/>
      </c>
      <c r="AR35" s="122" t="str">
        <f t="shared" ca="1" si="9"/>
        <v/>
      </c>
      <c r="AS35" s="122" t="str">
        <f t="shared" ca="1" si="9"/>
        <v/>
      </c>
      <c r="AT35" s="122" t="str">
        <f t="shared" ca="1" si="9"/>
        <v/>
      </c>
      <c r="AU35" s="122" t="str">
        <f t="shared" ca="1" si="9"/>
        <v/>
      </c>
      <c r="AV35" s="122" t="str">
        <f t="shared" ca="1" si="9"/>
        <v/>
      </c>
      <c r="AW35" s="122" t="str">
        <f t="shared" ca="1" si="9"/>
        <v/>
      </c>
      <c r="AX35" s="122" t="str">
        <f t="shared" ca="1" si="9"/>
        <v/>
      </c>
      <c r="AY35" s="122" t="str">
        <f t="shared" ca="1" si="9"/>
        <v/>
      </c>
      <c r="AZ35" s="122" t="str">
        <f t="shared" ca="1" si="9"/>
        <v/>
      </c>
      <c r="BA35" s="122" t="str">
        <f t="shared" ca="1" si="9"/>
        <v/>
      </c>
      <c r="BB35" s="122" t="str">
        <f t="shared" ca="1" si="9"/>
        <v/>
      </c>
      <c r="BC35" s="122" t="str">
        <f t="shared" ca="1" si="9"/>
        <v/>
      </c>
      <c r="BD35" s="122" t="str">
        <f t="shared" ca="1" si="10"/>
        <v/>
      </c>
      <c r="BE35" s="122" t="str">
        <f t="shared" ca="1" si="10"/>
        <v/>
      </c>
      <c r="BF35" s="122" t="str">
        <f t="shared" ca="1" si="10"/>
        <v/>
      </c>
      <c r="BG35" s="122" t="str">
        <f t="shared" ca="1" si="10"/>
        <v/>
      </c>
      <c r="BH35" s="122" t="str">
        <f t="shared" ca="1" si="10"/>
        <v/>
      </c>
      <c r="BI35" s="122" t="str">
        <f t="shared" ca="1" si="10"/>
        <v/>
      </c>
      <c r="BJ35" s="122" t="str">
        <f t="shared" ca="1" si="10"/>
        <v/>
      </c>
      <c r="BK35" s="122" t="str">
        <f t="shared" ca="1" si="10"/>
        <v/>
      </c>
      <c r="BL35" s="122" t="str">
        <f t="shared" ca="1" si="10"/>
        <v/>
      </c>
      <c r="BM35" s="64"/>
    </row>
    <row r="36" spans="1:65" s="1" customFormat="1" ht="40" customHeight="1" x14ac:dyDescent="0.2">
      <c r="A36" s="10"/>
      <c r="B36" s="114" t="s">
        <v>105</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38100</xdr:colOff>
                    <xdr:row>7</xdr:row>
                    <xdr:rowOff>63500</xdr:rowOff>
                  </from>
                  <to>
                    <xdr:col>64</xdr:col>
                    <xdr:colOff>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codeName="Sheet4">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83203125" style="9" customWidth="1"/>
    <col min="2" max="2" width="30.83203125" customWidth="1"/>
    <col min="3" max="3" width="13.5" bestFit="1" customWidth="1"/>
    <col min="4" max="4" width="20.5" customWidth="1"/>
    <col min="5" max="5" width="15.83203125" customWidth="1"/>
    <col min="6" max="6" width="10.5" style="2" customWidth="1"/>
    <col min="7" max="7" width="10.5" customWidth="1"/>
    <col min="8" max="8" width="2.5" customWidth="1"/>
    <col min="9" max="64" width="3.5" customWidth="1"/>
    <col min="65" max="65" width="2.5" customWidth="1"/>
  </cols>
  <sheetData>
    <row r="1" spans="1:68" ht="25" customHeight="1" x14ac:dyDescent="0.2"/>
    <row r="2" spans="1:68" ht="50" customHeight="1" x14ac:dyDescent="0.2">
      <c r="A2" s="10"/>
      <c r="B2" s="154" t="s">
        <v>106</v>
      </c>
      <c r="C2" s="154"/>
      <c r="D2" s="154"/>
      <c r="E2" s="154"/>
      <c r="F2" s="154"/>
      <c r="G2" s="154"/>
      <c r="H2" s="154"/>
      <c r="I2" s="155"/>
      <c r="J2" s="155"/>
      <c r="K2" s="155"/>
      <c r="L2" s="155"/>
      <c r="M2" s="155"/>
      <c r="N2" s="155"/>
      <c r="O2" s="156"/>
      <c r="P2" s="156"/>
      <c r="Q2" s="156"/>
      <c r="R2" s="156"/>
      <c r="S2" s="156"/>
      <c r="T2" s="156"/>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row>
    <row r="3" spans="1:68" ht="20" customHeight="1" x14ac:dyDescent="0.2">
      <c r="A3" s="10"/>
      <c r="B3" s="66"/>
      <c r="C3" s="67"/>
      <c r="D3" s="68"/>
      <c r="E3" s="68"/>
      <c r="F3" s="69"/>
      <c r="G3" s="68"/>
      <c r="H3" s="68"/>
      <c r="I3" s="82"/>
      <c r="J3" s="1"/>
      <c r="K3" s="1"/>
      <c r="L3" s="1"/>
    </row>
    <row r="4" spans="1:68" ht="30" customHeight="1" x14ac:dyDescent="0.2">
      <c r="A4" s="10"/>
      <c r="B4" s="70" t="s">
        <v>88</v>
      </c>
      <c r="C4" s="71"/>
      <c r="D4" s="72"/>
      <c r="E4" s="73"/>
      <c r="F4" s="74"/>
      <c r="G4" s="75" t="s">
        <v>5</v>
      </c>
      <c r="H4" s="73"/>
      <c r="I4" s="147" t="s">
        <v>6</v>
      </c>
      <c r="J4" s="147"/>
      <c r="K4" s="147"/>
      <c r="L4" s="147"/>
      <c r="N4" s="148" t="s">
        <v>7</v>
      </c>
      <c r="O4" s="148"/>
      <c r="P4" s="148"/>
      <c r="Q4" s="148"/>
      <c r="S4" s="149" t="s">
        <v>8</v>
      </c>
      <c r="T4" s="149"/>
      <c r="U4" s="149"/>
      <c r="V4" s="149"/>
      <c r="X4" s="142" t="s">
        <v>9</v>
      </c>
      <c r="Y4" s="142"/>
      <c r="Z4" s="142"/>
      <c r="AA4" s="142"/>
      <c r="AC4" s="143" t="s">
        <v>10</v>
      </c>
      <c r="AD4" s="143"/>
      <c r="AE4" s="143"/>
      <c r="AF4" s="143"/>
    </row>
    <row r="5" spans="1:68" ht="30" customHeight="1" x14ac:dyDescent="0.2">
      <c r="A5" s="10"/>
      <c r="B5" s="76" t="s">
        <v>107</v>
      </c>
      <c r="C5" s="72"/>
      <c r="D5" s="72"/>
      <c r="E5" s="73"/>
      <c r="F5" s="74"/>
      <c r="G5" s="73"/>
      <c r="H5" s="73"/>
    </row>
    <row r="6" spans="1:68" ht="30" customHeight="1" x14ac:dyDescent="0.25">
      <c r="A6" s="10"/>
      <c r="B6" s="77" t="s">
        <v>11</v>
      </c>
      <c r="C6" s="78" cm="1">
        <f t="array" aca="1" ref="C6" ca="1">IFERROR(IF(MIN(Milestones43524[Start])=0,TODAY(),B11(Milestones43524[Start])),TODAY())</f>
        <v>45981</v>
      </c>
      <c r="D6" s="79"/>
      <c r="E6" s="73"/>
      <c r="F6" s="74"/>
      <c r="G6" s="73"/>
      <c r="H6" s="73"/>
      <c r="I6" s="89" t="str">
        <f ca="1">TEXT(I7,"mmmm")</f>
        <v>November</v>
      </c>
      <c r="J6" s="89"/>
      <c r="K6" s="89"/>
      <c r="L6" s="89"/>
      <c r="M6" s="89"/>
      <c r="N6" s="89"/>
      <c r="O6" s="89"/>
      <c r="P6" s="89" t="str">
        <f ca="1">IF(TEXT(P7,"mmmm")=I6,"",TEXT(P7,"mmmm"))</f>
        <v>December</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January</v>
      </c>
      <c r="AZ6" s="90"/>
      <c r="BA6" s="90"/>
      <c r="BB6" s="91"/>
      <c r="BC6" s="88"/>
      <c r="BD6" s="88"/>
      <c r="BE6" s="88"/>
      <c r="BF6" s="88" t="str">
        <f ca="1">IF(OR(TEXT(BF7,"mmmm")=AY6,TEXT(BF7,"mmmm")=AR6,TEXT(BF7,"mmmm")=AK6,TEXT(BF7,"mmmm")=AD6),"",TEXT(BF7,"mmmm"))</f>
        <v/>
      </c>
      <c r="BG6" s="88"/>
      <c r="BH6" s="88"/>
      <c r="BI6" s="88"/>
      <c r="BJ6" s="88"/>
      <c r="BK6" s="88"/>
      <c r="BL6" s="88"/>
    </row>
    <row r="7" spans="1:68" ht="30" customHeight="1" x14ac:dyDescent="0.2">
      <c r="A7" s="10"/>
      <c r="B7" s="77" t="s">
        <v>90</v>
      </c>
      <c r="C7" s="80">
        <v>5</v>
      </c>
      <c r="D7" s="72"/>
      <c r="E7" s="73"/>
      <c r="F7" s="73"/>
      <c r="G7" s="73"/>
      <c r="H7" s="81"/>
      <c r="I7" s="96">
        <f ca="1">IFERROR(Project_Start+Scrolling_Increment,TODAY())</f>
        <v>45986</v>
      </c>
      <c r="J7" s="97">
        <f ca="1">I7+1</f>
        <v>45987</v>
      </c>
      <c r="K7" s="97">
        <f t="shared" ref="K7:AX7" ca="1" si="0">J7+1</f>
        <v>45988</v>
      </c>
      <c r="L7" s="97">
        <f t="shared" ca="1" si="0"/>
        <v>45989</v>
      </c>
      <c r="M7" s="97">
        <f t="shared" ca="1" si="0"/>
        <v>45990</v>
      </c>
      <c r="N7" s="97">
        <f t="shared" ca="1" si="0"/>
        <v>45991</v>
      </c>
      <c r="O7" s="98">
        <f t="shared" ca="1" si="0"/>
        <v>45992</v>
      </c>
      <c r="P7" s="97">
        <f ca="1">O7+1</f>
        <v>45993</v>
      </c>
      <c r="Q7" s="97">
        <f ca="1">P7+1</f>
        <v>45994</v>
      </c>
      <c r="R7" s="97">
        <f t="shared" ca="1" si="0"/>
        <v>45995</v>
      </c>
      <c r="S7" s="97">
        <f t="shared" ca="1" si="0"/>
        <v>45996</v>
      </c>
      <c r="T7" s="97">
        <f t="shared" ca="1" si="0"/>
        <v>45997</v>
      </c>
      <c r="U7" s="97">
        <f t="shared" ca="1" si="0"/>
        <v>45998</v>
      </c>
      <c r="V7" s="98">
        <f t="shared" ca="1" si="0"/>
        <v>45999</v>
      </c>
      <c r="W7" s="97">
        <f ca="1">V7+1</f>
        <v>46000</v>
      </c>
      <c r="X7" s="97">
        <f ca="1">W7+1</f>
        <v>46001</v>
      </c>
      <c r="Y7" s="97">
        <f t="shared" ca="1" si="0"/>
        <v>46002</v>
      </c>
      <c r="Z7" s="97">
        <f t="shared" ca="1" si="0"/>
        <v>46003</v>
      </c>
      <c r="AA7" s="97">
        <f t="shared" ca="1" si="0"/>
        <v>46004</v>
      </c>
      <c r="AB7" s="97">
        <f t="shared" ca="1" si="0"/>
        <v>46005</v>
      </c>
      <c r="AC7" s="98">
        <f t="shared" ca="1" si="0"/>
        <v>46006</v>
      </c>
      <c r="AD7" s="97">
        <f ca="1">AC7+1</f>
        <v>46007</v>
      </c>
      <c r="AE7" s="97">
        <f ca="1">AD7+1</f>
        <v>46008</v>
      </c>
      <c r="AF7" s="97">
        <f t="shared" ca="1" si="0"/>
        <v>46009</v>
      </c>
      <c r="AG7" s="97">
        <f t="shared" ca="1" si="0"/>
        <v>46010</v>
      </c>
      <c r="AH7" s="97">
        <f t="shared" ca="1" si="0"/>
        <v>46011</v>
      </c>
      <c r="AI7" s="97">
        <f t="shared" ca="1" si="0"/>
        <v>46012</v>
      </c>
      <c r="AJ7" s="98">
        <f t="shared" ca="1" si="0"/>
        <v>46013</v>
      </c>
      <c r="AK7" s="97">
        <f ca="1">AJ7+1</f>
        <v>46014</v>
      </c>
      <c r="AL7" s="97">
        <f ca="1">AK7+1</f>
        <v>46015</v>
      </c>
      <c r="AM7" s="97">
        <f t="shared" ca="1" si="0"/>
        <v>46016</v>
      </c>
      <c r="AN7" s="97">
        <f t="shared" ca="1" si="0"/>
        <v>46017</v>
      </c>
      <c r="AO7" s="97">
        <f t="shared" ca="1" si="0"/>
        <v>46018</v>
      </c>
      <c r="AP7" s="97">
        <f t="shared" ca="1" si="0"/>
        <v>46019</v>
      </c>
      <c r="AQ7" s="98">
        <f t="shared" ca="1" si="0"/>
        <v>46020</v>
      </c>
      <c r="AR7" s="97">
        <f ca="1">AQ7+1</f>
        <v>46021</v>
      </c>
      <c r="AS7" s="97">
        <f ca="1">AR7+1</f>
        <v>46022</v>
      </c>
      <c r="AT7" s="97">
        <f t="shared" ca="1" si="0"/>
        <v>46023</v>
      </c>
      <c r="AU7" s="97">
        <f t="shared" ca="1" si="0"/>
        <v>46024</v>
      </c>
      <c r="AV7" s="97">
        <f t="shared" ca="1" si="0"/>
        <v>46025</v>
      </c>
      <c r="AW7" s="97">
        <f t="shared" ca="1" si="0"/>
        <v>46026</v>
      </c>
      <c r="AX7" s="98">
        <f t="shared" ca="1" si="0"/>
        <v>46027</v>
      </c>
      <c r="AY7" s="97">
        <f ca="1">AX7+1</f>
        <v>46028</v>
      </c>
      <c r="AZ7" s="97">
        <f ca="1">AY7+1</f>
        <v>46029</v>
      </c>
      <c r="BA7" s="97">
        <f t="shared" ref="BA7:BE7" ca="1" si="1">AZ7+1</f>
        <v>46030</v>
      </c>
      <c r="BB7" s="97">
        <f t="shared" ca="1" si="1"/>
        <v>46031</v>
      </c>
      <c r="BC7" s="97">
        <f t="shared" ca="1" si="1"/>
        <v>46032</v>
      </c>
      <c r="BD7" s="97">
        <f t="shared" ca="1" si="1"/>
        <v>46033</v>
      </c>
      <c r="BE7" s="98">
        <f t="shared" ca="1" si="1"/>
        <v>46034</v>
      </c>
      <c r="BF7" s="97">
        <f ca="1">BE7+1</f>
        <v>46035</v>
      </c>
      <c r="BG7" s="97">
        <f ca="1">BF7+1</f>
        <v>46036</v>
      </c>
      <c r="BH7" s="97">
        <f t="shared" ref="BH7:BL7" ca="1" si="2">BG7+1</f>
        <v>46037</v>
      </c>
      <c r="BI7" s="97">
        <f t="shared" ca="1" si="2"/>
        <v>46038</v>
      </c>
      <c r="BJ7" s="97">
        <f t="shared" ca="1" si="2"/>
        <v>46039</v>
      </c>
      <c r="BK7" s="97">
        <f t="shared" ca="1" si="2"/>
        <v>46040</v>
      </c>
      <c r="BL7" s="98">
        <f t="shared" ca="1" si="2"/>
        <v>46041</v>
      </c>
    </row>
    <row r="8" spans="1:68" ht="20" customHeight="1" x14ac:dyDescent="0.2">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 customHeight="1" x14ac:dyDescent="0.2">
      <c r="A9" s="10"/>
      <c r="B9" s="119" t="s">
        <v>12</v>
      </c>
      <c r="C9" s="120" t="s">
        <v>91</v>
      </c>
      <c r="D9" s="120" t="s">
        <v>14</v>
      </c>
      <c r="E9" s="120" t="s">
        <v>15</v>
      </c>
      <c r="F9" s="120" t="s">
        <v>16</v>
      </c>
      <c r="G9" s="120" t="s">
        <v>17</v>
      </c>
      <c r="H9" s="86"/>
      <c r="I9" s="104" t="str">
        <f t="shared" ref="I9:BL9" ca="1" si="3">LEFT(TEXT(I7,"ddd"),1)</f>
        <v>T</v>
      </c>
      <c r="J9" s="104" t="str">
        <f t="shared" ca="1" si="3"/>
        <v>W</v>
      </c>
      <c r="K9" s="104" t="str">
        <f t="shared" ca="1" si="3"/>
        <v>T</v>
      </c>
      <c r="L9" s="104" t="str">
        <f t="shared" ca="1" si="3"/>
        <v>F</v>
      </c>
      <c r="M9" s="104" t="str">
        <f t="shared" ca="1" si="3"/>
        <v>S</v>
      </c>
      <c r="N9" s="104" t="str">
        <f t="shared" ca="1" si="3"/>
        <v>S</v>
      </c>
      <c r="O9" s="104" t="str">
        <f t="shared" ca="1" si="3"/>
        <v>M</v>
      </c>
      <c r="P9" s="104" t="str">
        <f t="shared" ca="1" si="3"/>
        <v>T</v>
      </c>
      <c r="Q9" s="104" t="str">
        <f t="shared" ca="1" si="3"/>
        <v>W</v>
      </c>
      <c r="R9" s="104" t="str">
        <f t="shared" ca="1" si="3"/>
        <v>T</v>
      </c>
      <c r="S9" s="104" t="str">
        <f t="shared" ca="1" si="3"/>
        <v>F</v>
      </c>
      <c r="T9" s="104" t="str">
        <f t="shared" ca="1" si="3"/>
        <v>S</v>
      </c>
      <c r="U9" s="104" t="str">
        <f t="shared" ca="1" si="3"/>
        <v>S</v>
      </c>
      <c r="V9" s="104" t="str">
        <f t="shared" ca="1" si="3"/>
        <v>M</v>
      </c>
      <c r="W9" s="104" t="str">
        <f t="shared" ca="1" si="3"/>
        <v>T</v>
      </c>
      <c r="X9" s="104" t="str">
        <f t="shared" ca="1" si="3"/>
        <v>W</v>
      </c>
      <c r="Y9" s="104" t="str">
        <f t="shared" ca="1" si="3"/>
        <v>T</v>
      </c>
      <c r="Z9" s="104" t="str">
        <f t="shared" ca="1" si="3"/>
        <v>F</v>
      </c>
      <c r="AA9" s="104" t="str">
        <f t="shared" ca="1" si="3"/>
        <v>S</v>
      </c>
      <c r="AB9" s="104" t="str">
        <f t="shared" ca="1" si="3"/>
        <v>S</v>
      </c>
      <c r="AC9" s="104" t="str">
        <f t="shared" ca="1" si="3"/>
        <v>M</v>
      </c>
      <c r="AD9" s="104" t="str">
        <f t="shared" ca="1" si="3"/>
        <v>T</v>
      </c>
      <c r="AE9" s="104" t="str">
        <f t="shared" ca="1" si="3"/>
        <v>W</v>
      </c>
      <c r="AF9" s="104" t="str">
        <f t="shared" ca="1" si="3"/>
        <v>T</v>
      </c>
      <c r="AG9" s="104" t="str">
        <f t="shared" ca="1" si="3"/>
        <v>F</v>
      </c>
      <c r="AH9" s="104" t="str">
        <f t="shared" ca="1" si="3"/>
        <v>S</v>
      </c>
      <c r="AI9" s="104" t="str">
        <f t="shared" ca="1" si="3"/>
        <v>S</v>
      </c>
      <c r="AJ9" s="104" t="str">
        <f t="shared" ca="1" si="3"/>
        <v>M</v>
      </c>
      <c r="AK9" s="104" t="str">
        <f t="shared" ca="1" si="3"/>
        <v>T</v>
      </c>
      <c r="AL9" s="104" t="str">
        <f t="shared" ca="1" si="3"/>
        <v>W</v>
      </c>
      <c r="AM9" s="104" t="str">
        <f t="shared" ca="1" si="3"/>
        <v>T</v>
      </c>
      <c r="AN9" s="104" t="str">
        <f t="shared" ca="1" si="3"/>
        <v>F</v>
      </c>
      <c r="AO9" s="104" t="str">
        <f t="shared" ca="1" si="3"/>
        <v>S</v>
      </c>
      <c r="AP9" s="104" t="str">
        <f t="shared" ca="1" si="3"/>
        <v>S</v>
      </c>
      <c r="AQ9" s="104" t="str">
        <f t="shared" ca="1" si="3"/>
        <v>M</v>
      </c>
      <c r="AR9" s="104" t="str">
        <f t="shared" ca="1" si="3"/>
        <v>T</v>
      </c>
      <c r="AS9" s="104" t="str">
        <f t="shared" ca="1" si="3"/>
        <v>W</v>
      </c>
      <c r="AT9" s="104" t="str">
        <f t="shared" ca="1" si="3"/>
        <v>T</v>
      </c>
      <c r="AU9" s="104" t="str">
        <f t="shared" ca="1" si="3"/>
        <v>F</v>
      </c>
      <c r="AV9" s="104" t="str">
        <f t="shared" ca="1" si="3"/>
        <v>S</v>
      </c>
      <c r="AW9" s="104" t="str">
        <f t="shared" ca="1" si="3"/>
        <v>S</v>
      </c>
      <c r="AX9" s="104" t="str">
        <f t="shared" ca="1" si="3"/>
        <v>M</v>
      </c>
      <c r="AY9" s="104" t="str">
        <f t="shared" ca="1" si="3"/>
        <v>T</v>
      </c>
      <c r="AZ9" s="104" t="str">
        <f t="shared" ca="1" si="3"/>
        <v>W</v>
      </c>
      <c r="BA9" s="104" t="str">
        <f t="shared" ca="1" si="3"/>
        <v>T</v>
      </c>
      <c r="BB9" s="104" t="str">
        <f t="shared" ca="1" si="3"/>
        <v>F</v>
      </c>
      <c r="BC9" s="104" t="str">
        <f t="shared" ca="1" si="3"/>
        <v>S</v>
      </c>
      <c r="BD9" s="104" t="str">
        <f t="shared" ca="1" si="3"/>
        <v>S</v>
      </c>
      <c r="BE9" s="104" t="str">
        <f t="shared" ca="1" si="3"/>
        <v>M</v>
      </c>
      <c r="BF9" s="104" t="str">
        <f t="shared" ca="1" si="3"/>
        <v>T</v>
      </c>
      <c r="BG9" s="104" t="str">
        <f t="shared" ca="1" si="3"/>
        <v>W</v>
      </c>
      <c r="BH9" s="104" t="str">
        <f t="shared" ca="1" si="3"/>
        <v>T</v>
      </c>
      <c r="BI9" s="104" t="str">
        <f t="shared" ca="1" si="3"/>
        <v>F</v>
      </c>
      <c r="BJ9" s="104" t="str">
        <f t="shared" ca="1" si="3"/>
        <v>S</v>
      </c>
      <c r="BK9" s="104" t="str">
        <f t="shared" ca="1" si="3"/>
        <v>S</v>
      </c>
      <c r="BL9" s="104" t="str">
        <f t="shared" ca="1" si="3"/>
        <v>M</v>
      </c>
    </row>
    <row r="10" spans="1:68" ht="30" hidden="1" customHeight="1" thickBot="1" x14ac:dyDescent="0.25">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 customHeight="1" x14ac:dyDescent="0.2">
      <c r="A11" s="10"/>
      <c r="B11" s="113" t="s">
        <v>92</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 customHeight="1" x14ac:dyDescent="0.2">
      <c r="A12" s="10"/>
      <c r="B12" s="61" t="s">
        <v>93</v>
      </c>
      <c r="C12" s="57" t="s">
        <v>94</v>
      </c>
      <c r="D12" s="57" t="s">
        <v>95</v>
      </c>
      <c r="E12" s="58">
        <v>0.25</v>
      </c>
      <c r="F12" s="59">
        <f ca="1">TODAY()</f>
        <v>45981</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 customHeight="1" x14ac:dyDescent="0.2">
      <c r="A13" s="10"/>
      <c r="B13" s="61" t="s">
        <v>96</v>
      </c>
      <c r="C13" s="57" t="s">
        <v>97</v>
      </c>
      <c r="D13" s="57"/>
      <c r="E13" s="58"/>
      <c r="F13" s="59">
        <f ca="1">TODAY()+5</f>
        <v>45986</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 customHeight="1" x14ac:dyDescent="0.2">
      <c r="A14" s="9"/>
      <c r="B14" s="61" t="s">
        <v>98</v>
      </c>
      <c r="C14" s="57" t="s">
        <v>23</v>
      </c>
      <c r="D14" s="57"/>
      <c r="E14" s="58">
        <v>0.5</v>
      </c>
      <c r="F14" s="59">
        <f ca="1">F12-3</f>
        <v>45978</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 customHeight="1" x14ac:dyDescent="0.2">
      <c r="A15" s="9"/>
      <c r="B15" s="61" t="s">
        <v>99</v>
      </c>
      <c r="C15" s="57" t="s">
        <v>97</v>
      </c>
      <c r="D15" s="57"/>
      <c r="E15" s="58"/>
      <c r="F15" s="59">
        <f ca="1">F12+20</f>
        <v>46001</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 customHeight="1" x14ac:dyDescent="0.2">
      <c r="A16" s="9"/>
      <c r="B16" s="61" t="s">
        <v>100</v>
      </c>
      <c r="C16" s="57" t="s">
        <v>20</v>
      </c>
      <c r="D16" s="57"/>
      <c r="E16" s="58">
        <v>0.1</v>
      </c>
      <c r="F16" s="59">
        <f ca="1">F12+6</f>
        <v>45987</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 customHeight="1" x14ac:dyDescent="0.2">
      <c r="A17" s="10"/>
      <c r="B17" s="113" t="s">
        <v>101</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 customHeight="1" x14ac:dyDescent="0.2">
      <c r="A18" s="10"/>
      <c r="B18" s="61" t="s">
        <v>93</v>
      </c>
      <c r="C18" s="57" t="s">
        <v>35</v>
      </c>
      <c r="D18" s="57"/>
      <c r="E18" s="58">
        <v>0.6</v>
      </c>
      <c r="F18" s="59">
        <f ca="1">F12+6</f>
        <v>45987</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 customHeight="1" x14ac:dyDescent="0.2">
      <c r="A19" s="9"/>
      <c r="B19" s="61" t="s">
        <v>96</v>
      </c>
      <c r="C19" s="57" t="s">
        <v>102</v>
      </c>
      <c r="D19" s="57"/>
      <c r="E19" s="58">
        <v>0.5</v>
      </c>
      <c r="F19" s="59">
        <f ca="1">F18+2</f>
        <v>45989</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 customHeight="1" x14ac:dyDescent="0.2">
      <c r="A20" s="9"/>
      <c r="B20" s="61" t="s">
        <v>98</v>
      </c>
      <c r="C20" s="57" t="s">
        <v>23</v>
      </c>
      <c r="D20" s="57"/>
      <c r="E20" s="58">
        <v>0.33</v>
      </c>
      <c r="F20" s="59">
        <f ca="1">F19+5</f>
        <v>45994</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 customHeight="1" x14ac:dyDescent="0.2">
      <c r="A21" s="9"/>
      <c r="B21" s="61" t="s">
        <v>99</v>
      </c>
      <c r="C21" s="57" t="s">
        <v>97</v>
      </c>
      <c r="D21" s="57"/>
      <c r="E21" s="58"/>
      <c r="F21" s="59">
        <f ca="1">F20+2</f>
        <v>45996</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 customHeight="1" x14ac:dyDescent="0.2">
      <c r="A22" s="9"/>
      <c r="B22" s="61" t="s">
        <v>100</v>
      </c>
      <c r="C22" s="57"/>
      <c r="D22" s="57"/>
      <c r="E22" s="58"/>
      <c r="F22" s="59">
        <f ca="1">F21+1</f>
        <v>45997</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 customHeight="1" x14ac:dyDescent="0.2">
      <c r="A23" s="9"/>
      <c r="B23" s="113" t="s">
        <v>103</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 customHeight="1" x14ac:dyDescent="0.2">
      <c r="A24" s="9"/>
      <c r="B24" s="61" t="s">
        <v>93</v>
      </c>
      <c r="C24" s="57" t="s">
        <v>102</v>
      </c>
      <c r="D24" s="57"/>
      <c r="E24" s="58"/>
      <c r="F24" s="59">
        <f ca="1">F12+15</f>
        <v>45996</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 customHeight="1" x14ac:dyDescent="0.2">
      <c r="A25" s="9"/>
      <c r="B25" s="61" t="s">
        <v>96</v>
      </c>
      <c r="C25" s="57" t="s">
        <v>20</v>
      </c>
      <c r="D25" s="57"/>
      <c r="E25" s="58"/>
      <c r="F25" s="59">
        <f ca="1">F24+3</f>
        <v>45999</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 customHeight="1" x14ac:dyDescent="0.2">
      <c r="A26" s="9"/>
      <c r="B26" s="61" t="s">
        <v>98</v>
      </c>
      <c r="C26" s="57" t="s">
        <v>102</v>
      </c>
      <c r="D26" s="57"/>
      <c r="E26" s="58"/>
      <c r="F26" s="59">
        <f ca="1">F25+15</f>
        <v>46014</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 customHeight="1" x14ac:dyDescent="0.2">
      <c r="A27" s="9"/>
      <c r="B27" s="61" t="s">
        <v>99</v>
      </c>
      <c r="C27" s="57" t="s">
        <v>94</v>
      </c>
      <c r="D27" s="57"/>
      <c r="E27" s="58"/>
      <c r="F27" s="59">
        <f ca="1">F21+22</f>
        <v>46018</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 customHeight="1" x14ac:dyDescent="0.2">
      <c r="A28" s="9"/>
      <c r="B28" s="61" t="s">
        <v>100</v>
      </c>
      <c r="C28" s="57" t="s">
        <v>23</v>
      </c>
      <c r="D28" s="57"/>
      <c r="E28" s="58"/>
      <c r="F28" s="59">
        <f ca="1">F16</f>
        <v>45987</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 customHeight="1" x14ac:dyDescent="0.2">
      <c r="A29" s="9"/>
      <c r="B29" s="113" t="s">
        <v>104</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 customHeight="1" x14ac:dyDescent="0.2">
      <c r="A30" s="9"/>
      <c r="B30" s="61" t="s">
        <v>93</v>
      </c>
      <c r="C30" s="57"/>
      <c r="D30" s="57"/>
      <c r="E30" s="58"/>
      <c r="F30" s="59">
        <f ca="1">F27+3</f>
        <v>46021</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 customHeight="1" x14ac:dyDescent="0.2">
      <c r="A31" s="9"/>
      <c r="B31" s="61" t="s">
        <v>96</v>
      </c>
      <c r="C31" s="57"/>
      <c r="D31" s="57"/>
      <c r="E31" s="58"/>
      <c r="F31" s="59">
        <f ca="1">F30+14</f>
        <v>46035</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 customHeight="1" x14ac:dyDescent="0.2">
      <c r="A32" s="9"/>
      <c r="B32" s="61" t="s">
        <v>98</v>
      </c>
      <c r="C32" s="57" t="s">
        <v>97</v>
      </c>
      <c r="D32" s="57"/>
      <c r="E32" s="58"/>
      <c r="F32" s="59">
        <f ca="1">F31+42</f>
        <v>46077</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 customHeight="1" x14ac:dyDescent="0.2">
      <c r="A33" s="9"/>
      <c r="B33" s="61" t="s">
        <v>99</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 customHeight="1" x14ac:dyDescent="0.2">
      <c r="A34" s="9"/>
      <c r="B34" s="61" t="s">
        <v>100</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 customHeight="1" x14ac:dyDescent="0.2">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 customHeight="1" x14ac:dyDescent="0.2">
      <c r="A36" s="10"/>
      <c r="B36" s="115" t="s">
        <v>105</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38100</xdr:colOff>
                    <xdr:row>7</xdr:row>
                    <xdr:rowOff>63500</xdr:rowOff>
                  </from>
                  <to>
                    <xdr:col>64</xdr:col>
                    <xdr:colOff>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2.xml><?xml version="1.0" encoding="utf-8"?>
<ds:datastoreItem xmlns:ds="http://schemas.openxmlformats.org/officeDocument/2006/customXml" ds:itemID="{2D0FD509-FAA6-490F-8E99-57602ADB216E}">
  <ds:schemaRefs>
    <ds:schemaRef ds:uri="http://purl.org/dc/elements/1.1/"/>
    <ds:schemaRef ds:uri="230e9df3-be65-4c73-a93b-d1236ebd677e"/>
    <ds:schemaRef ds:uri="http://www.w3.org/XML/1998/namespace"/>
    <ds:schemaRef ds:uri="71af3243-3dd4-4a8d-8c0d-dd76da1f02a5"/>
    <ds:schemaRef ds:uri="http://schemas.microsoft.com/sharepoint/v3"/>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16c05727-aa75-4e4a-9b5f-8a80a1165891"/>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Macintosh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2023-01-31T06:46:07Z</dcterms:created>
  <dcterms:modified xsi:type="dcterms:W3CDTF">2025-11-21T00:54:43Z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