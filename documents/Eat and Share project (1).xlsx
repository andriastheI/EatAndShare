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svg" ContentType="image/svg"/>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Light" sheetId="2" state="visible" r:id="rId4"/>
    <sheet name="Dark" sheetId="3" state="visible" r:id="rId5"/>
    <sheet name="Color" sheetId="4" state="visible" r:id="rId6"/>
  </sheets>
  <definedNames>
    <definedName function="false" hidden="false" localSheetId="3" name="_xlnm.Print_Titles" vbProcedure="false">Color!$6:$9</definedName>
    <definedName function="false" hidden="false" localSheetId="2" name="_xlnm.Print_Titles" vbProcedure="false">Dark!$6:$9</definedName>
    <definedName function="false" hidden="false" localSheetId="1" name="_xlnm.Print_Titles" vbProcedure="false">Light!$6:$9</definedName>
    <definedName function="false" hidden="false" name="Project_Start" vbProcedure="false">#REF!</definedName>
    <definedName function="false" hidden="false" name="Scrolling_Increment" vbProcedure="false">#REF!</definedName>
    <definedName function="false" hidden="false" localSheetId="1" name="Project_Start" vbProcedure="false">Light!$C$6</definedName>
    <definedName function="false" hidden="false" localSheetId="1" name="Scrolling_Increment" vbProcedure="false">Light!$C$7</definedName>
    <definedName function="false" hidden="false" localSheetId="1" name="Today" vbProcedure="false">TODAY()</definedName>
    <definedName function="false" hidden="false" localSheetId="2" name="Project_Start" vbProcedure="false">Dark!$C$6</definedName>
    <definedName function="false" hidden="false" localSheetId="2" name="Scrolling_Increment" vbProcedure="false">Dark!$C$7</definedName>
    <definedName function="false" hidden="false" localSheetId="2" name="Today" vbProcedure="false">TODAY()</definedName>
    <definedName function="false" hidden="false" localSheetId="3" name="Project_Start" vbProcedure="false">Color!$C$6</definedName>
    <definedName function="false" hidden="false" localSheetId="3" name="Scrolling_Increment" vbProcedure="false">Color!$C$7</definedName>
    <definedName function="false" hidden="false" localSheetId="3" name="Today" vbProcedure="false">TODAY()</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<sst xmlns="http://schemas.openxmlformats.org/spreadsheetml/2006/main" count="273" uniqueCount="96">
  <si>
    <t xml:space="preserve">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</si>
  <si>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</si>
  <si>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xml:space="preserve">•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</si>
  <si>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 xml:space="preserve">EatAndShare Gantt Chart </t>
  </si>
  <si>
    <t xml:space="preserve">Selin Birgul and Andrias Zelele</t>
  </si>
  <si>
    <t xml:space="preserve">Legend:</t>
  </si>
  <si>
    <t xml:space="preserve">On track</t>
  </si>
  <si>
    <t xml:space="preserve">Low risk</t>
  </si>
  <si>
    <t xml:space="preserve">Med risk</t>
  </si>
  <si>
    <t xml:space="preserve">High risk</t>
  </si>
  <si>
    <t xml:space="preserve">Unassigned</t>
  </si>
  <si>
    <t xml:space="preserve">Project start date:</t>
  </si>
  <si>
    <t xml:space="preserve">Milestone description</t>
  </si>
  <si>
    <t xml:space="preserve">Column1</t>
  </si>
  <si>
    <t xml:space="preserve">Assigned to</t>
  </si>
  <si>
    <t xml:space="preserve">Progress</t>
  </si>
  <si>
    <t xml:space="preserve">Start</t>
  </si>
  <si>
    <t xml:space="preserve">Days</t>
  </si>
  <si>
    <t xml:space="preserve">Project development</t>
  </si>
  <si>
    <t xml:space="preserve">Create Git Repository</t>
  </si>
  <si>
    <t xml:space="preserve">Med Risk</t>
  </si>
  <si>
    <t xml:space="preserve">Both</t>
  </si>
  <si>
    <t xml:space="preserve">Login and Create Account page design</t>
  </si>
  <si>
    <t xml:space="preserve">Low Risk</t>
  </si>
  <si>
    <t xml:space="preserve">Andrias</t>
  </si>
  <si>
    <t xml:space="preserve">create gantt chart </t>
  </si>
  <si>
    <t xml:space="preserve">Selin</t>
  </si>
  <si>
    <t xml:space="preserve">User recipe uploading page design</t>
  </si>
  <si>
    <t xml:space="preserve">creating catagories and for the home page</t>
  </si>
  <si>
    <t xml:space="preserve">connecting login page with jpa backend</t>
  </si>
  <si>
    <t xml:space="preserve">work on gantt chart+flowchart</t>
  </si>
  <si>
    <t xml:space="preserve">work on user registration</t>
  </si>
  <si>
    <t xml:space="preserve">design ERD for our entire database</t>
  </si>
  <si>
    <t xml:space="preserve">create the tables for the database </t>
  </si>
  <si>
    <t xml:space="preserve">build the html page for the breakfast category</t>
  </si>
  <si>
    <t xml:space="preserve">High Risk</t>
  </si>
  <si>
    <t xml:space="preserve">selin</t>
  </si>
  <si>
    <t xml:space="preserve">build the html page for the lunch category</t>
  </si>
  <si>
    <t xml:space="preserve">build the html page for the dinner category</t>
  </si>
  <si>
    <t xml:space="preserve">build the html page for the vegan category</t>
  </si>
  <si>
    <t xml:space="preserve">build the html page for the vegetarian category</t>
  </si>
  <si>
    <t xml:space="preserve">add login validation</t>
  </si>
  <si>
    <t xml:space="preserve">insert new user record into Users table</t>
  </si>
  <si>
    <t xml:space="preserve">build the recipe detail page</t>
  </si>
  <si>
    <t xml:space="preserve">work on implementation of searching for recipes</t>
  </si>
  <si>
    <t xml:space="preserve">work on implemetation of adding recipes</t>
  </si>
  <si>
    <t xml:space="preserve"> implemetation of deleting recipes</t>
  </si>
  <si>
    <t xml:space="preserve">add form validation for recipe uplad form</t>
  </si>
  <si>
    <t xml:space="preserve">work on recipe upload to the website feature</t>
  </si>
  <si>
    <t xml:space="preserve">Integrate recipe feed with backend</t>
  </si>
  <si>
    <t xml:space="preserve">work on recipe detail page's backend</t>
  </si>
  <si>
    <t xml:space="preserve">make the design of the pages better</t>
  </si>
  <si>
    <t xml:space="preserve">add at least 5 recipes for each category in the database</t>
  </si>
  <si>
    <t xml:space="preserve">write  unit tests for login service</t>
  </si>
  <si>
    <t xml:space="preserve">andrias</t>
  </si>
  <si>
    <t xml:space="preserve">write  unit tests for recipe upload service</t>
  </si>
  <si>
    <t xml:space="preserve">write unit tests for search functionality</t>
  </si>
  <si>
    <t xml:space="preserve">write unit tests for recipe service</t>
  </si>
  <si>
    <t xml:space="preserve">add logging to all services</t>
  </si>
  <si>
    <t xml:space="preserve">uploading images to our directory</t>
  </si>
  <si>
    <t xml:space="preserve">commenting the model classes</t>
  </si>
  <si>
    <t xml:space="preserve">fix holes on the service page</t>
  </si>
  <si>
    <t xml:space="preserve">unit test for recipe service</t>
  </si>
  <si>
    <t xml:space="preserve">fixing the homepage</t>
  </si>
  <si>
    <t xml:space="preserve">creating about page and contact us page</t>
  </si>
  <si>
    <t xml:space="preserve">linked the contact page with andrias's email</t>
  </si>
  <si>
    <t xml:space="preserve">session handling</t>
  </si>
  <si>
    <t xml:space="preserve">developer documentation</t>
  </si>
  <si>
    <t xml:space="preserve">user documentation</t>
  </si>
  <si>
    <t xml:space="preserve">finish unit testing for all services</t>
  </si>
  <si>
    <t xml:space="preserve">both</t>
  </si>
  <si>
    <t xml:space="preserve">add validation to deleting recipes</t>
  </si>
  <si>
    <t xml:space="preserve">user shouldn’t be able to post the same recipe twice</t>
  </si>
  <si>
    <t xml:space="preserve">seln</t>
  </si>
  <si>
    <t xml:space="preserve">password changing</t>
  </si>
  <si>
    <t xml:space="preserve">PROJECT: Dark</t>
  </si>
  <si>
    <t xml:space="preserve">Contoso, Ltd.</t>
  </si>
  <si>
    <t xml:space="preserve">Gupreet Bawa</t>
  </si>
  <si>
    <t xml:space="preserve">Scrolling increment:</t>
  </si>
  <si>
    <t xml:space="preserve">Category</t>
  </si>
  <si>
    <t xml:space="preserve">TITLE 1</t>
  </si>
  <si>
    <t xml:space="preserve">Task 1</t>
  </si>
  <si>
    <t xml:space="preserve">Goal</t>
  </si>
  <si>
    <t xml:space="preserve">Name</t>
  </si>
  <si>
    <t xml:space="preserve">Task 2</t>
  </si>
  <si>
    <t xml:space="preserve">Milestone</t>
  </si>
  <si>
    <t xml:space="preserve">Task 3</t>
  </si>
  <si>
    <t xml:space="preserve">Task 4</t>
  </si>
  <si>
    <t xml:space="preserve">Task 5</t>
  </si>
  <si>
    <t xml:space="preserve">TITLE 2</t>
  </si>
  <si>
    <t xml:space="preserve">On Track</t>
  </si>
  <si>
    <t xml:space="preserve">TITLE 3</t>
  </si>
  <si>
    <t xml:space="preserve">TITLE 4</t>
  </si>
  <si>
    <t xml:space="preserve">To add more data, Insert new rows ABOVE this one</t>
  </si>
  <si>
    <t xml:space="preserve">PROJECT: Color</t>
  </si>
  <si>
    <t xml:space="preserve">Hayden Cook</t>
  </si>
</sst>
</file>

<file path=xl/styles.xml><?xml version="1.0" encoding="utf-8"?>
<styleSheet xmlns="http://schemas.openxmlformats.org/spreadsheetml/2006/main">
  <numFmts count="6">
    <numFmt numFmtId="164" formatCode="General"/>
    <numFmt numFmtId="165" formatCode="m/d/yyyy"/>
    <numFmt numFmtId="166" formatCode="General"/>
    <numFmt numFmtId="167" formatCode="d"/>
    <numFmt numFmtId="168" formatCode="0%"/>
    <numFmt numFmtId="169" formatCode="#,##0_);\(#,##0\)"/>
  </numFmts>
  <fonts count="38">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0"/>
      <name val="Calibri"/>
      <family val="2"/>
      <charset val="1"/>
    </font>
    <font>
      <sz val="20"/>
      <name val="Calibri"/>
      <family val="2"/>
      <charset val="1"/>
    </font>
    <font>
      <sz val="14"/>
      <color theme="1"/>
      <name val="Calibri"/>
      <family val="2"/>
      <charset val="1"/>
    </font>
    <font>
      <sz val="22"/>
      <name val="Corbel"/>
      <family val="2"/>
      <charset val="1"/>
    </font>
    <font>
      <b val="true"/>
      <sz val="24"/>
      <color theme="0"/>
      <name val="Calibri"/>
      <family val="2"/>
      <charset val="1"/>
    </font>
    <font>
      <sz val="20"/>
      <color theme="8" tint="0.5999"/>
      <name val="Calibri"/>
      <family val="2"/>
      <charset val="1"/>
    </font>
    <font>
      <b val="true"/>
      <sz val="22"/>
      <name val="Calibri"/>
      <family val="2"/>
      <charset val="1"/>
    </font>
    <font>
      <sz val="14"/>
      <name val="Calibri"/>
      <family val="2"/>
      <charset val="1"/>
    </font>
    <font>
      <sz val="11"/>
      <name val="Calibri"/>
      <family val="2"/>
      <charset val="1"/>
    </font>
    <font>
      <b val="true"/>
      <sz val="26"/>
      <name val="Calibri"/>
      <family val="2"/>
      <charset val="1"/>
    </font>
    <font>
      <b val="true"/>
      <sz val="22"/>
      <color theme="1" tint="0.3499"/>
      <name val="Calibri"/>
      <family val="2"/>
      <charset val="1"/>
    </font>
    <font>
      <b val="true"/>
      <sz val="20"/>
      <name val="Calibri"/>
      <family val="2"/>
      <charset val="1"/>
    </font>
    <font>
      <b val="true"/>
      <sz val="16"/>
      <name val="Calibri"/>
      <family val="2"/>
      <charset val="1"/>
    </font>
    <font>
      <b val="true"/>
      <sz val="14"/>
      <color theme="0"/>
      <name val="Calibri"/>
      <family val="2"/>
      <charset val="1"/>
    </font>
    <font>
      <b val="true"/>
      <sz val="14"/>
      <name val="Calibri"/>
      <family val="2"/>
      <charset val="1"/>
    </font>
    <font>
      <b val="true"/>
      <sz val="16"/>
      <color rgb="FF000000"/>
      <name val="Calibri"/>
      <family val="2"/>
      <charset val="1"/>
    </font>
    <font>
      <sz val="16"/>
      <color rgb="FF000000"/>
      <name val="Calibri"/>
      <family val="2"/>
      <charset val="1"/>
    </font>
    <font>
      <sz val="16"/>
      <color theme="1"/>
      <name val="Calibri"/>
      <family val="2"/>
      <charset val="1"/>
    </font>
    <font>
      <b val="true"/>
      <sz val="11"/>
      <color theme="0"/>
      <name val="Calibri"/>
      <family val="2"/>
      <charset val="1"/>
    </font>
    <font>
      <b val="true"/>
      <sz val="10"/>
      <color theme="0"/>
      <name val="Calibri"/>
      <family val="2"/>
      <charset val="1"/>
    </font>
    <font>
      <b val="true"/>
      <sz val="14"/>
      <color theme="8" tint="-0.5"/>
      <name val="Calibri"/>
      <family val="2"/>
      <charset val="1"/>
    </font>
    <font>
      <b val="true"/>
      <sz val="11"/>
      <name val="Calibri"/>
      <family val="2"/>
      <charset val="1"/>
    </font>
    <font>
      <sz val="11"/>
      <color rgb="FF000000"/>
      <name val="Calibri"/>
      <family val="2"/>
      <charset val="1"/>
    </font>
    <font>
      <sz val="11"/>
      <color theme="5"/>
      <name val="Calibri"/>
      <family val="2"/>
      <charset val="1"/>
    </font>
    <font>
      <sz val="12"/>
      <color theme="8" tint="-0.5"/>
      <name val="Calibri"/>
      <family val="2"/>
      <charset val="1"/>
    </font>
    <font>
      <b val="true"/>
      <sz val="11"/>
      <color theme="1" tint="0.4999"/>
      <name val="Calibri"/>
      <family val="2"/>
      <charset val="1"/>
    </font>
    <font>
      <u val="single"/>
      <sz val="11"/>
      <color rgb="FF0000FF"/>
      <name val="Arial"/>
      <family val="2"/>
      <charset val="1"/>
    </font>
    <font>
      <sz val="10"/>
      <color theme="1" tint="0.4999"/>
      <name val="Arial"/>
      <family val="2"/>
      <charset val="1"/>
    </font>
    <font>
      <b val="true"/>
      <sz val="26"/>
      <color theme="0"/>
      <name val="Calibri"/>
      <family val="2"/>
      <charset val="1"/>
    </font>
    <font>
      <sz val="14"/>
      <color theme="0"/>
      <name val="Calibri"/>
      <family val="2"/>
      <charset val="1"/>
    </font>
    <font>
      <b val="true"/>
      <sz val="16"/>
      <color theme="0"/>
      <name val="Calibri"/>
      <family val="2"/>
      <charset val="1"/>
    </font>
    <font>
      <sz val="14"/>
      <color rgb="FF000000"/>
      <name val="Calibri"/>
      <family val="2"/>
      <charset val="1"/>
    </font>
    <font>
      <sz val="10"/>
      <color theme="0"/>
      <name val="Calibri"/>
      <family val="2"/>
      <charset val="1"/>
    </font>
  </fonts>
  <fills count="14">
    <fill>
      <patternFill patternType="none"/>
    </fill>
    <fill>
      <patternFill patternType="gray125"/>
    </fill>
    <fill>
      <patternFill patternType="solid">
        <fgColor theme="6"/>
        <bgColor rgb="FF0EABB7"/>
      </patternFill>
    </fill>
    <fill>
      <patternFill patternType="solid">
        <fgColor theme="9" tint="-0.5"/>
        <bgColor rgb="FF008080"/>
      </patternFill>
    </fill>
    <fill>
      <patternFill patternType="solid">
        <fgColor theme="0" tint="-0.05"/>
        <bgColor rgb="FFE6E6E6"/>
      </patternFill>
    </fill>
    <fill>
      <patternFill patternType="solid">
        <fgColor theme="9"/>
        <bgColor rgb="FF0EABB7"/>
      </patternFill>
    </fill>
    <fill>
      <patternFill patternType="solid">
        <fgColor theme="5"/>
        <bgColor rgb="FF0084B4"/>
      </patternFill>
    </fill>
    <fill>
      <patternFill patternType="solid">
        <fgColor theme="7" tint="-0.25"/>
        <bgColor rgb="FF993366"/>
      </patternFill>
    </fill>
    <fill>
      <patternFill patternType="solid">
        <fgColor theme="2" tint="-0.1"/>
        <bgColor rgb="FFF2F2F2"/>
      </patternFill>
    </fill>
    <fill>
      <patternFill patternType="solid">
        <fgColor theme="0" tint="-0.25"/>
        <bgColor rgb="FFA6A6A6"/>
      </patternFill>
    </fill>
    <fill>
      <patternFill patternType="solid">
        <fgColor theme="1" tint="0.2499"/>
        <bgColor rgb="FF595959"/>
      </patternFill>
    </fill>
    <fill>
      <patternFill patternType="solid">
        <fgColor theme="0"/>
        <bgColor rgb="FFF2F2F2"/>
      </patternFill>
    </fill>
    <fill>
      <patternFill patternType="solid">
        <fgColor theme="1" tint="0.15"/>
        <bgColor rgb="FF0C1753"/>
      </patternFill>
    </fill>
    <fill>
      <patternFill patternType="solid">
        <fgColor theme="0" tint="-0.15"/>
        <bgColor rgb="FFE6E6E6"/>
      </patternFill>
    </fill>
  </fills>
  <borders count="21">
    <border diagonalUp="false" diagonalDown="false">
      <left/>
      <right/>
      <top/>
      <bottom/>
      <diagonal/>
    </border>
    <border diagonalUp="false" diagonalDown="false">
      <left/>
      <right/>
      <top/>
      <bottom style="thin">
        <color theme="0" tint="-0.5"/>
      </bottom>
      <diagonal/>
    </border>
    <border diagonalUp="false" diagonalDown="false">
      <left/>
      <right style="thin">
        <color theme="0" tint="-0.35"/>
      </right>
      <top/>
      <bottom/>
      <diagonal/>
    </border>
    <border diagonalUp="false" diagonalDown="false">
      <left style="thin">
        <color theme="0" tint="-0.35"/>
      </left>
      <right/>
      <top style="thin">
        <color theme="0" tint="-0.5"/>
      </top>
      <bottom/>
      <diagonal/>
    </border>
    <border diagonalUp="false" diagonalDown="false">
      <left/>
      <right/>
      <top style="thin">
        <color theme="0" tint="-0.5"/>
      </top>
      <bottom/>
      <diagonal/>
    </border>
    <border diagonalUp="false" diagonalDown="false">
      <left/>
      <right style="thin">
        <color theme="0" tint="-0.35"/>
      </right>
      <top style="thin">
        <color theme="0" tint="-0.5"/>
      </top>
      <bottom/>
      <diagonal/>
    </border>
    <border diagonalUp="false" diagonalDown="false">
      <left style="thin">
        <color theme="0" tint="-0.35"/>
      </left>
      <right/>
      <top/>
      <bottom/>
      <diagonal/>
    </border>
    <border diagonalUp="false" diagonalDown="false">
      <left style="thin">
        <color theme="0" tint="-0.35"/>
      </left>
      <right/>
      <top/>
      <bottom style="thin">
        <color theme="0" tint="-0.35"/>
      </bottom>
      <diagonal/>
    </border>
    <border diagonalUp="false" diagonalDown="false">
      <left/>
      <right style="thin">
        <color theme="0" tint="-0.35"/>
      </right>
      <top/>
      <bottom style="thin">
        <color theme="0" tint="-0.3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15"/>
      </left>
      <right style="thin">
        <color theme="0" tint="-0.15"/>
      </right>
      <top/>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style="thin">
        <color theme="0" tint="-0.15"/>
      </left>
      <right/>
      <top/>
      <bottom style="thin">
        <color theme="0"/>
      </bottom>
      <diagonal/>
    </border>
    <border diagonalUp="false" diagonalDown="false">
      <left style="thin">
        <color theme="0" tint="-0.5"/>
      </left>
      <right/>
      <top/>
      <bottom/>
      <diagonal/>
    </border>
    <border diagonalUp="false" diagonalDown="false">
      <left/>
      <right style="thin">
        <color theme="0" tint="-0.5"/>
      </right>
      <top/>
      <bottom/>
      <diagonal/>
    </border>
    <border diagonalUp="false" diagonalDown="false">
      <left style="thin">
        <color theme="0" tint="-0.5"/>
      </left>
      <right/>
      <top/>
      <bottom style="thin">
        <color theme="0" tint="-0.5"/>
      </bottom>
      <diagonal/>
    </border>
    <border diagonalUp="false" diagonalDown="false">
      <left/>
      <right style="thin">
        <color theme="0" tint="-0.35"/>
      </right>
      <top/>
      <bottom style="thin">
        <color theme="0" tint="-0.5"/>
      </bottom>
      <diagonal/>
    </border>
    <border diagonalUp="false" diagonalDown="false">
      <left/>
      <right style="thin">
        <color theme="1" tint="0.3499"/>
      </right>
      <top style="thin">
        <color theme="1" tint="0.3499"/>
      </top>
      <bottom style="thin">
        <color theme="1" tint="0.3499"/>
      </bottom>
      <diagonal/>
    </border>
    <border diagonalUp="false" diagonalDown="false">
      <left style="thin">
        <color theme="1" tint="0.3499"/>
      </left>
      <right style="thin">
        <color theme="1" tint="0.3499"/>
      </right>
      <top style="thin">
        <color theme="1" tint="0.3499"/>
      </top>
      <bottom style="thin">
        <color theme="1" tint="0.3499"/>
      </bottom>
      <diagonal/>
    </border>
    <border diagonalUp="false" diagonalDown="false">
      <left/>
      <right/>
      <top/>
      <bottom style="thin">
        <color theme="1" tint="0.3499"/>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164" fontId="31"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true">
      <alignment horizontal="center"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false">
      <alignment horizontal="right" vertical="center" textRotation="0" wrapText="false" indent="1" shrinkToFit="false"/>
    </xf>
    <xf numFmtId="169" fontId="0" fillId="0" borderId="0" applyFont="true" applyBorder="false" applyAlignment="true" applyProtection="false">
      <alignment horizontal="center" vertical="center" textRotation="0" wrapText="false" indent="0" shrinkToFit="false"/>
    </xf>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23" applyFont="true" applyBorder="false" applyAlignment="true" applyProtection="true">
      <alignment horizontal="general"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9" fillId="3" borderId="0" xfId="23" applyFont="true" applyBorder="true" applyAlignment="true" applyProtection="true">
      <alignment horizontal="left" vertical="center"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1" fillId="4" borderId="0" xfId="23" applyFont="true" applyBorder="false" applyAlignment="true" applyProtection="true">
      <alignment horizontal="general" vertical="center" textRotation="0" wrapText="false" indent="0" shrinkToFit="false"/>
      <protection locked="true" hidden="false"/>
    </xf>
    <xf numFmtId="164" fontId="12" fillId="4" borderId="0" xfId="23" applyFont="true" applyBorder="true" applyAlignment="true" applyProtection="true">
      <alignment horizontal="left" vertical="center"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true" indent="0" shrinkToFit="false"/>
      <protection locked="true" hidden="false"/>
    </xf>
    <xf numFmtId="164" fontId="4" fillId="0" borderId="0" xfId="22"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22" applyFont="true" applyBorder="false" applyAlignment="true" applyProtection="false">
      <alignment horizontal="general" vertical="bottom" textRotation="0" wrapText="true" indent="0" shrinkToFit="false"/>
      <protection locked="true" hidden="false"/>
    </xf>
    <xf numFmtId="164" fontId="14" fillId="4" borderId="0" xfId="24" applyFont="true" applyBorder="true" applyAlignment="true" applyProtection="true">
      <alignment horizontal="left" vertical="center" textRotation="0" wrapText="false" indent="1"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1" fillId="0" borderId="0" xfId="24" applyFont="true" applyBorder="tru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7" fillId="0" borderId="0" xfId="23" applyFont="true" applyBorder="false" applyAlignment="true" applyProtection="true">
      <alignment horizontal="left" vertical="center" textRotation="0" wrapText="false" indent="2" shrinkToFit="false"/>
      <protection locked="true" hidden="false"/>
    </xf>
    <xf numFmtId="164" fontId="12" fillId="0" borderId="0" xfId="23" applyFont="true" applyBorder="false" applyAlignment="true" applyProtection="true">
      <alignment horizontal="left" vertical="center" textRotation="0" wrapText="false" indent="2" shrinkToFit="false"/>
      <protection locked="true" hidden="false"/>
    </xf>
    <xf numFmtId="164" fontId="13" fillId="0" borderId="0" xfId="0" applyFont="true" applyBorder="false" applyAlignment="true" applyProtection="false">
      <alignment horizontal="left" vertical="center" textRotation="0" wrapText="false" indent="2"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4" fontId="18" fillId="2" borderId="0" xfId="25" applyFont="true" applyBorder="true" applyAlignment="true" applyProtection="true">
      <alignment horizontal="center" vertical="center" textRotation="0" wrapText="false" indent="0" shrinkToFit="false"/>
      <protection locked="true" hidden="false"/>
    </xf>
    <xf numFmtId="164" fontId="19"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tru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7" fillId="0" borderId="0" xfId="24" applyFont="true" applyBorder="true" applyAlignment="true" applyProtection="true">
      <alignment horizontal="left" vertical="center" textRotation="0" wrapText="false" indent="2" shrinkToFit="false"/>
      <protection locked="true" hidden="false"/>
    </xf>
    <xf numFmtId="164" fontId="13" fillId="0" borderId="0" xfId="26" applyFont="true" applyBorder="false" applyAlignment="true" applyProtection="true">
      <alignment horizontal="left" vertical="center" textRotation="0" wrapText="false" indent="2" shrinkToFit="false"/>
      <protection locked="true" hidden="false"/>
    </xf>
    <xf numFmtId="165" fontId="13" fillId="0" borderId="0" xfId="21" applyFont="true" applyBorder="true" applyAlignment="true" applyProtection="false">
      <alignment horizontal="left" vertical="center" textRotation="0" wrapText="false" indent="0" shrinkToFit="false"/>
      <protection locked="true" hidden="false"/>
    </xf>
    <xf numFmtId="165" fontId="13" fillId="0" borderId="0" xfId="21" applyFont="true" applyBorder="true" applyAlignment="true" applyProtection="false">
      <alignment horizontal="left" vertical="center" textRotation="0" wrapText="false" indent="2" shrinkToFit="false"/>
      <protection locked="true" hidden="false"/>
    </xf>
    <xf numFmtId="166" fontId="17" fillId="0" borderId="1"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20" fillId="0" borderId="1" xfId="0" applyFont="true" applyBorder="true" applyAlignment="true" applyProtection="false">
      <alignment horizontal="general" vertical="center" textRotation="0" wrapText="false" indent="0" shrinkToFit="false"/>
      <protection locked="true" hidden="false"/>
    </xf>
    <xf numFmtId="164" fontId="21" fillId="0" borderId="1" xfId="0" applyFont="true" applyBorder="true" applyAlignment="true" applyProtection="false">
      <alignment horizontal="general" vertical="center"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7" fontId="5" fillId="9" borderId="3" xfId="0" applyFont="true" applyBorder="true" applyAlignment="true" applyProtection="false">
      <alignment horizontal="center" vertical="center" textRotation="0" wrapText="false" indent="0" shrinkToFit="false"/>
      <protection locked="true" hidden="false"/>
    </xf>
    <xf numFmtId="167" fontId="5" fillId="9" borderId="4" xfId="0" applyFont="true" applyBorder="true" applyAlignment="true" applyProtection="false">
      <alignment horizontal="center" vertical="center" textRotation="0" wrapText="false" indent="0" shrinkToFit="false"/>
      <protection locked="true" hidden="false"/>
    </xf>
    <xf numFmtId="167" fontId="5" fillId="9" borderId="5" xfId="0" applyFont="true" applyBorder="true" applyAlignment="true" applyProtection="false">
      <alignment horizontal="center" vertical="center" textRotation="0" wrapText="false" indent="0" shrinkToFit="false"/>
      <protection locked="true" hidden="false"/>
    </xf>
    <xf numFmtId="167" fontId="5" fillId="9" borderId="6" xfId="0" applyFont="true" applyBorder="true" applyAlignment="true" applyProtection="false">
      <alignment horizontal="center" vertical="center" textRotation="0" wrapText="false" indent="0" shrinkToFit="false"/>
      <protection locked="true" hidden="false"/>
    </xf>
    <xf numFmtId="167" fontId="5" fillId="9" borderId="0" xfId="0" applyFont="true" applyBorder="false" applyAlignment="true" applyProtection="false">
      <alignment horizontal="center" vertical="center" textRotation="0" wrapText="false" indent="0" shrinkToFit="false"/>
      <protection locked="true" hidden="false"/>
    </xf>
    <xf numFmtId="167" fontId="5" fillId="9" borderId="7" xfId="0" applyFont="true" applyBorder="true" applyAlignment="true" applyProtection="false">
      <alignment horizontal="center" vertical="center" textRotation="0" wrapText="false" indent="0" shrinkToFit="false"/>
      <protection locked="true" hidden="false"/>
    </xf>
    <xf numFmtId="167" fontId="5" fillId="9" borderId="8" xfId="0" applyFont="true" applyBorder="true" applyAlignment="true" applyProtection="false">
      <alignment horizontal="center" vertical="center" textRotation="0" wrapText="false" indent="0" shrinkToFit="false"/>
      <protection locked="true" hidden="false"/>
    </xf>
    <xf numFmtId="167" fontId="5" fillId="9" borderId="2" xfId="0" applyFont="true" applyBorder="true" applyAlignment="true" applyProtection="false">
      <alignment horizontal="center" vertical="center" textRotation="0" wrapText="false" indent="0" shrinkToFit="false"/>
      <protection locked="true" hidden="false"/>
    </xf>
    <xf numFmtId="164" fontId="23" fillId="10" borderId="0" xfId="0" applyFont="true" applyBorder="false" applyAlignment="true" applyProtection="false">
      <alignment horizontal="left" vertical="center" textRotation="0" wrapText="false" indent="1" shrinkToFit="false"/>
      <protection locked="true" hidden="false"/>
    </xf>
    <xf numFmtId="164" fontId="23" fillId="10" borderId="0" xfId="0" applyFont="true" applyBorder="fals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xf numFmtId="166" fontId="5" fillId="9" borderId="9" xfId="0" applyFont="true" applyBorder="true" applyAlignment="true" applyProtection="false">
      <alignment horizontal="center" vertical="center" textRotation="0" wrapText="false" indent="0" shrinkToFit="true"/>
      <protection locked="true" hidden="false"/>
    </xf>
    <xf numFmtId="164" fontId="0" fillId="0" borderId="0" xfId="0" applyFont="false" applyBorder="false" applyAlignment="true" applyProtection="false">
      <alignment horizontal="left" vertical="bottom" textRotation="0" wrapText="true" indent="2" shrinkToFit="false"/>
      <protection locked="true" hidden="false"/>
    </xf>
    <xf numFmtId="168" fontId="0" fillId="0" borderId="0" xfId="19"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5" fontId="0" fillId="0" borderId="0" xfId="21" applyFont="true" applyBorder="true" applyAlignment="true" applyProtection="false">
      <alignment horizontal="center" vertical="center" textRotation="0" wrapText="false" indent="0" shrinkToFit="false"/>
      <protection locked="true" hidden="false"/>
    </xf>
    <xf numFmtId="169" fontId="0" fillId="0" borderId="0" xfId="27" applyFont="tru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8" fontId="26" fillId="0" borderId="0" xfId="19" applyFont="true" applyBorder="true" applyAlignment="true" applyProtection="true">
      <alignment horizontal="center" vertical="center" textRotation="0" wrapText="false" indent="0" shrinkToFit="false"/>
      <protection locked="true" hidden="false"/>
    </xf>
    <xf numFmtId="165" fontId="13" fillId="0" borderId="0" xfId="21" applyFont="true" applyBorder="true" applyAlignment="true" applyProtection="false">
      <alignment horizontal="center" vertical="center" textRotation="0" wrapText="false" indent="0" shrinkToFit="false"/>
      <protection locked="true" hidden="false"/>
    </xf>
    <xf numFmtId="169" fontId="13" fillId="0" borderId="0" xfId="27" applyFont="true" applyBorder="true" applyAlignment="true" applyProtection="true">
      <alignment horizontal="center" vertical="center" textRotation="0" wrapText="false" indent="0" shrinkToFit="false"/>
      <protection locked="true" hidden="false"/>
    </xf>
    <xf numFmtId="166" fontId="0" fillId="0" borderId="11" xfId="0" applyFont="fals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1" shrinkToFit="false"/>
      <protection locked="true" hidden="false"/>
    </xf>
    <xf numFmtId="164" fontId="0" fillId="11" borderId="11" xfId="0" applyFont="false" applyBorder="true" applyAlignment="true" applyProtection="false">
      <alignment horizontal="center" vertical="center" textRotation="0" wrapText="false" indent="0" shrinkToFit="false"/>
      <protection locked="true" hidden="false"/>
    </xf>
    <xf numFmtId="166" fontId="0" fillId="11" borderId="11" xfId="0" applyFont="false" applyBorder="true" applyAlignment="true" applyProtection="false">
      <alignment horizontal="center" vertical="center" textRotation="0" wrapText="false" indent="0" shrinkToFit="false"/>
      <protection locked="true" hidden="false"/>
    </xf>
    <xf numFmtId="166" fontId="4" fillId="11" borderId="11" xfId="0" applyFont="true" applyBorder="true" applyAlignment="true" applyProtection="false">
      <alignment horizontal="center" vertical="center"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3"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4" shrinkToFit="false"/>
      <protection locked="true" hidden="false"/>
    </xf>
    <xf numFmtId="164" fontId="0" fillId="0" borderId="0" xfId="0" applyFont="true" applyBorder="false" applyAlignment="true" applyProtection="false">
      <alignment horizontal="left" vertical="bottom" textRotation="0" wrapText="true" indent="5" shrinkToFit="false"/>
      <protection locked="tru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0" fillId="0" borderId="0" xfId="0" applyFont="true" applyBorder="false" applyAlignment="true" applyProtection="false">
      <alignment horizontal="left" vertical="bottom" textRotation="0" wrapText="true" indent="6"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6" borderId="1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7" shrinkToFit="false"/>
      <protection locked="true" hidden="false"/>
    </xf>
    <xf numFmtId="164" fontId="0" fillId="0" borderId="0" xfId="0" applyFont="true" applyBorder="false" applyAlignment="true" applyProtection="false">
      <alignment horizontal="left" vertical="bottom" textRotation="0" wrapText="true" indent="8" shrinkToFit="false"/>
      <protection locked="true" hidden="false"/>
    </xf>
    <xf numFmtId="164" fontId="0" fillId="0" borderId="0" xfId="0" applyFont="true" applyBorder="false" applyAlignment="true" applyProtection="false">
      <alignment horizontal="left" vertical="bottom" textRotation="0" wrapText="true" indent="9" shrinkToFit="false"/>
      <protection locked="true" hidden="false"/>
    </xf>
    <xf numFmtId="165" fontId="13" fillId="0" borderId="0" xfId="0" applyFont="true" applyBorder="false" applyAlignment="true" applyProtection="false">
      <alignment horizontal="center" vertical="center" textRotation="0" wrapText="false" indent="0" shrinkToFit="false"/>
      <protection locked="true" hidden="false"/>
    </xf>
    <xf numFmtId="169" fontId="13"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10" shrinkToFit="false"/>
      <protection locked="true" hidden="false"/>
    </xf>
    <xf numFmtId="164" fontId="0" fillId="0" borderId="0" xfId="0" applyFont="false" applyBorder="false" applyAlignment="true" applyProtection="false">
      <alignment horizontal="left" vertical="bottom" textRotation="0" wrapText="true" indent="11" shrinkToFit="false"/>
      <protection locked="true" hidden="false"/>
    </xf>
    <xf numFmtId="164" fontId="0" fillId="0" borderId="0" xfId="0" applyFont="false" applyBorder="false" applyAlignment="true" applyProtection="false">
      <alignment horizontal="left" vertical="bottom" textRotation="0" wrapText="true" indent="12" shrinkToFit="false"/>
      <protection locked="true" hidden="false"/>
    </xf>
    <xf numFmtId="164" fontId="0" fillId="0" borderId="0" xfId="0" applyFont="false" applyBorder="false" applyAlignment="true" applyProtection="false">
      <alignment horizontal="left" vertical="bottom" textRotation="0" wrapText="true" indent="13" shrinkToFit="false"/>
      <protection locked="true" hidden="false"/>
    </xf>
    <xf numFmtId="164" fontId="0" fillId="0" borderId="0" xfId="0" applyFont="false" applyBorder="false" applyAlignment="true" applyProtection="false">
      <alignment horizontal="left" vertical="bottom" textRotation="0" wrapText="true" indent="15" shrinkToFit="false"/>
      <protection locked="true" hidden="false"/>
    </xf>
    <xf numFmtId="164" fontId="0" fillId="0" borderId="13"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2" shrinkToFit="false"/>
      <protection locked="true" hidden="false"/>
    </xf>
    <xf numFmtId="164" fontId="13" fillId="0" borderId="0" xfId="0" applyFont="true" applyBorder="false" applyAlignment="true" applyProtection="false">
      <alignment horizontal="left" vertical="center" textRotation="0" wrapText="true" indent="1"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2" fillId="0" borderId="0" xfId="20" applyFont="true" applyBorder="true" applyAlignment="true" applyProtection="true">
      <alignment horizontal="general" vertical="bottom" textRotation="0" wrapText="false" indent="0" shrinkToFit="false"/>
      <protection locked="true" hidden="false"/>
    </xf>
    <xf numFmtId="164" fontId="33" fillId="10" borderId="0" xfId="24" applyFont="true" applyBorder="true" applyAlignment="true" applyProtection="true">
      <alignment horizontal="left" vertical="center" textRotation="0" wrapText="false" indent="1" shrinkToFit="false"/>
      <protection locked="true" hidden="false"/>
    </xf>
    <xf numFmtId="164" fontId="34" fillId="10" borderId="0" xfId="0" applyFont="true" applyBorder="true" applyAlignment="true" applyProtection="false">
      <alignment horizontal="center" vertical="center" textRotation="0" wrapText="false" indent="0" shrinkToFit="false"/>
      <protection locked="true" hidden="false"/>
    </xf>
    <xf numFmtId="164" fontId="4" fillId="10" borderId="0" xfId="0" applyFont="true" applyBorder="true" applyAlignment="true" applyProtection="false">
      <alignment horizontal="center" vertical="center"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1" fillId="12" borderId="0" xfId="24" applyFont="true" applyBorder="true" applyAlignment="true" applyProtection="true">
      <alignment horizontal="left" vertical="center" textRotation="0" wrapText="false" indent="0" shrinkToFit="false"/>
      <protection locked="true" hidden="false"/>
    </xf>
    <xf numFmtId="164" fontId="16" fillId="12" borderId="0" xfId="0" applyFont="true" applyBorder="false" applyAlignment="true" applyProtection="false">
      <alignment horizontal="left" vertical="center" textRotation="0" wrapText="false" indent="0" shrinkToFit="false"/>
      <protection locked="true" hidden="false"/>
    </xf>
    <xf numFmtId="164" fontId="13" fillId="12" borderId="0" xfId="0" applyFont="true" applyBorder="false" applyAlignment="true" applyProtection="false">
      <alignment horizontal="general" vertical="center" textRotation="0" wrapText="false" indent="0" shrinkToFit="false"/>
      <protection locked="true" hidden="false"/>
    </xf>
    <xf numFmtId="164" fontId="12" fillId="12" borderId="0" xfId="0" applyFont="true" applyBorder="false" applyAlignment="true" applyProtection="false">
      <alignment horizontal="center" vertical="center" textRotation="0" wrapText="false" indent="0" shrinkToFit="false"/>
      <protection locked="true" hidden="false"/>
    </xf>
    <xf numFmtId="164" fontId="0" fillId="12" borderId="0" xfId="0" applyFont="false" applyBorder="false" applyAlignment="true" applyProtection="false">
      <alignment horizontal="general" vertical="center" textRotation="0" wrapText="false" indent="0" shrinkToFit="false"/>
      <protection locked="true" hidden="false"/>
    </xf>
    <xf numFmtId="164" fontId="12" fillId="12" borderId="0" xfId="0" applyFont="true" applyBorder="false" applyAlignment="true" applyProtection="false">
      <alignment horizontal="general" vertical="center"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35" fillId="12" borderId="0" xfId="23" applyFont="true" applyBorder="false" applyAlignment="true" applyProtection="true">
      <alignment horizontal="left" vertical="center" textRotation="0" wrapText="false" indent="2" shrinkToFit="false"/>
      <protection locked="true" hidden="false"/>
    </xf>
    <xf numFmtId="164" fontId="36" fillId="12" borderId="0" xfId="23" applyFont="true" applyBorder="false" applyAlignment="true" applyProtection="true">
      <alignment horizontal="left" vertical="center" textRotation="0" wrapText="false" indent="2" shrinkToFit="false"/>
      <protection locked="true" hidden="false"/>
    </xf>
    <xf numFmtId="164" fontId="27" fillId="12" borderId="0" xfId="0" applyFont="true" applyBorder="false" applyAlignment="true" applyProtection="false">
      <alignment horizontal="left" vertical="center" textRotation="0" wrapText="false" indent="2" shrinkToFit="false"/>
      <protection locked="true" hidden="false"/>
    </xf>
    <xf numFmtId="164" fontId="27" fillId="12" borderId="0" xfId="0" applyFont="true" applyBorder="false" applyAlignment="false" applyProtection="false">
      <alignment horizontal="general" vertical="bottom" textRotation="0" wrapText="false" indent="0" shrinkToFit="false"/>
      <protection locked="true" hidden="false"/>
    </xf>
    <xf numFmtId="164" fontId="27" fillId="12" borderId="0" xfId="0" applyFont="true" applyBorder="false" applyAlignment="true" applyProtection="false">
      <alignment horizontal="center" vertical="bottom" textRotation="0" wrapText="false" indent="0" shrinkToFit="false"/>
      <protection locked="true" hidden="false"/>
    </xf>
    <xf numFmtId="164" fontId="4" fillId="12" borderId="0" xfId="0" applyFont="true" applyBorder="false" applyAlignment="true" applyProtection="false">
      <alignment horizontal="right" vertical="center" textRotation="0" wrapText="false" indent="0" shrinkToFit="false"/>
      <protection locked="true" hidden="false"/>
    </xf>
    <xf numFmtId="164" fontId="35" fillId="12" borderId="0" xfId="0" applyFont="true" applyBorder="false" applyAlignment="true" applyProtection="false">
      <alignment horizontal="left" vertical="center" textRotation="0" wrapText="false" indent="2" shrinkToFit="false"/>
      <protection locked="true" hidden="false"/>
    </xf>
    <xf numFmtId="164" fontId="0" fillId="12" borderId="0" xfId="0" applyFont="false" applyBorder="false" applyAlignment="true" applyProtection="false">
      <alignment horizontal="left" vertical="center" textRotation="0" wrapText="false" indent="2" shrinkToFit="false"/>
      <protection locked="true" hidden="false"/>
    </xf>
    <xf numFmtId="164" fontId="0" fillId="12" borderId="0" xfId="0" applyFont="false" applyBorder="false" applyAlignment="true" applyProtection="false">
      <alignment horizontal="center" vertical="bottom" textRotation="0" wrapText="false" indent="0" shrinkToFit="false"/>
      <protection locked="true" hidden="false"/>
    </xf>
    <xf numFmtId="164" fontId="4" fillId="12" borderId="0" xfId="26" applyFont="true" applyBorder="false" applyAlignment="true" applyProtection="true">
      <alignment horizontal="left" vertical="center" textRotation="0" wrapText="false" indent="2" shrinkToFit="false"/>
      <protection locked="true" hidden="false"/>
    </xf>
    <xf numFmtId="165" fontId="4" fillId="12" borderId="0" xfId="21" applyFont="true" applyBorder="true" applyAlignment="true" applyProtection="false">
      <alignment horizontal="left" vertical="center" textRotation="0" wrapText="false" indent="0" shrinkToFit="false"/>
      <protection locked="true" hidden="false"/>
    </xf>
    <xf numFmtId="165" fontId="27" fillId="12" borderId="0" xfId="21" applyFont="true" applyBorder="true" applyAlignment="true" applyProtection="false">
      <alignment horizontal="left" vertical="center" textRotation="0" wrapText="false" indent="2" shrinkToFit="false"/>
      <protection locked="true" hidden="false"/>
    </xf>
    <xf numFmtId="166" fontId="20"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4" fillId="12" borderId="0" xfId="0" applyFont="true" applyBorder="false" applyAlignment="true" applyProtection="false">
      <alignment horizontal="left" vertical="center" textRotation="0" wrapText="false" indent="0" shrinkToFit="false"/>
      <protection locked="true" hidden="false"/>
    </xf>
    <xf numFmtId="167" fontId="37" fillId="10" borderId="14" xfId="0" applyFont="true" applyBorder="true" applyAlignment="true" applyProtection="false">
      <alignment horizontal="center" vertical="center" textRotation="0" wrapText="false" indent="0" shrinkToFit="false"/>
      <protection locked="true" hidden="false"/>
    </xf>
    <xf numFmtId="167" fontId="37" fillId="10" borderId="0" xfId="0" applyFont="true" applyBorder="false" applyAlignment="true" applyProtection="false">
      <alignment horizontal="center" vertical="center" textRotation="0" wrapText="false" indent="0" shrinkToFit="false"/>
      <protection locked="true" hidden="false"/>
    </xf>
    <xf numFmtId="167" fontId="37" fillId="10" borderId="15" xfId="0" applyFont="true" applyBorder="true" applyAlignment="true" applyProtection="false">
      <alignment horizontal="center" vertical="center" textRotation="0" wrapText="false" indent="0" shrinkToFit="false"/>
      <protection locked="true" hidden="false"/>
    </xf>
    <xf numFmtId="167" fontId="37" fillId="10" borderId="2" xfId="0" applyFont="true" applyBorder="true" applyAlignment="true" applyProtection="false">
      <alignment horizontal="center" vertical="center" textRotation="0" wrapText="false" indent="0" shrinkToFit="false"/>
      <protection locked="true" hidden="false"/>
    </xf>
    <xf numFmtId="167" fontId="5" fillId="10" borderId="16" xfId="0" applyFont="true" applyBorder="true" applyAlignment="true" applyProtection="false">
      <alignment horizontal="center" vertical="center" textRotation="0" wrapText="false" indent="0" shrinkToFit="false"/>
      <protection locked="true" hidden="false"/>
    </xf>
    <xf numFmtId="167" fontId="5" fillId="10" borderId="1" xfId="0" applyFont="true" applyBorder="true" applyAlignment="true" applyProtection="false">
      <alignment horizontal="center" vertical="center" textRotation="0" wrapText="false" indent="0" shrinkToFit="false"/>
      <protection locked="true" hidden="false"/>
    </xf>
    <xf numFmtId="167" fontId="5" fillId="10" borderId="17" xfId="0" applyFont="true" applyBorder="true" applyAlignment="true" applyProtection="false">
      <alignment horizontal="center" vertical="center" textRotation="0" wrapText="false" indent="0" shrinkToFit="false"/>
      <protection locked="true" hidden="false"/>
    </xf>
    <xf numFmtId="164" fontId="26" fillId="13" borderId="0" xfId="0" applyFont="true" applyBorder="false" applyAlignment="true" applyProtection="false">
      <alignment horizontal="left" vertical="center" textRotation="0" wrapText="false" indent="1" shrinkToFit="false"/>
      <protection locked="true" hidden="false"/>
    </xf>
    <xf numFmtId="164" fontId="26" fillId="13" borderId="0" xfId="0" applyFont="true" applyBorder="false" applyAlignment="true" applyProtection="false">
      <alignment horizontal="center" vertical="center" textRotation="0" wrapText="true" indent="0" shrinkToFit="false"/>
      <protection locked="true" hidden="false"/>
    </xf>
    <xf numFmtId="164" fontId="24" fillId="12" borderId="0" xfId="0" applyFont="true" applyBorder="false" applyAlignment="true" applyProtection="false">
      <alignment horizontal="center" vertical="center" textRotation="0" wrapText="true" indent="0" shrinkToFit="false"/>
      <protection locked="true" hidden="false"/>
    </xf>
    <xf numFmtId="166" fontId="37" fillId="10" borderId="12" xfId="0" applyFont="true" applyBorder="true" applyAlignment="true" applyProtection="false">
      <alignment horizontal="center" vertical="center" textRotation="0" wrapText="false" indent="0" shrinkToFit="true"/>
      <protection locked="true" hidden="false"/>
    </xf>
    <xf numFmtId="164" fontId="23" fillId="0" borderId="0" xfId="0" applyFont="true" applyBorder="false" applyAlignment="true" applyProtection="false">
      <alignment horizontal="left" vertical="center" textRotation="0" wrapText="true" indent="1"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8" fontId="23" fillId="0" borderId="0" xfId="19" applyFont="true" applyBorder="true" applyAlignment="true" applyProtection="true">
      <alignment horizontal="center" vertical="center" textRotation="0" wrapText="false" indent="0" shrinkToFit="false"/>
      <protection locked="true" hidden="false"/>
    </xf>
    <xf numFmtId="165" fontId="4" fillId="0" borderId="0" xfId="21" applyFont="true" applyBorder="true" applyAlignment="true" applyProtection="false">
      <alignment horizontal="center" vertical="center" textRotation="0" wrapText="false" indent="0" shrinkToFit="false"/>
      <protection locked="true" hidden="false"/>
    </xf>
    <xf numFmtId="169" fontId="4" fillId="0" borderId="0" xfId="27" applyFont="true" applyBorder="true" applyAlignment="true" applyProtection="true">
      <alignment horizontal="center" vertical="center" textRotation="0" wrapText="false" indent="0" shrinkToFit="false"/>
      <protection locked="true" hidden="false"/>
    </xf>
    <xf numFmtId="164" fontId="13" fillId="12" borderId="0" xfId="0" applyFont="true" applyBorder="false" applyAlignment="true" applyProtection="false">
      <alignment horizontal="center" vertical="center" textRotation="0" wrapText="false" indent="0" shrinkToFit="false"/>
      <protection locked="true" hidden="false"/>
    </xf>
    <xf numFmtId="166" fontId="4" fillId="12" borderId="18" xfId="0" applyFont="true" applyBorder="true" applyAlignment="true" applyProtection="false">
      <alignment horizontal="center" vertical="center" textRotation="0" wrapText="false" indent="0" shrinkToFit="false"/>
      <protection locked="true" hidden="false"/>
    </xf>
    <xf numFmtId="166" fontId="4" fillId="12" borderId="1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2" shrinkToFit="false"/>
      <protection locked="true" hidden="false"/>
    </xf>
    <xf numFmtId="164" fontId="0" fillId="12" borderId="20" xfId="0" applyFont="false" applyBorder="true" applyAlignment="true" applyProtection="false">
      <alignment horizontal="general" vertical="center" textRotation="0" wrapText="false" indent="0" shrinkToFit="false"/>
      <protection locked="true" hidden="false"/>
    </xf>
    <xf numFmtId="164" fontId="4" fillId="12" borderId="0" xfId="0" applyFont="true" applyBorder="false" applyAlignment="true" applyProtection="false">
      <alignment horizontal="left" vertical="center" textRotation="0" wrapText="true" indent="1" shrinkToFit="false"/>
      <protection locked="true" hidden="false"/>
    </xf>
    <xf numFmtId="164" fontId="0" fillId="12" borderId="0" xfId="0" applyFont="false" applyBorder="false" applyAlignment="true" applyProtection="false">
      <alignment horizontal="center" vertical="center" textRotation="0" wrapText="false" indent="0" shrinkToFit="false"/>
      <protection locked="true" hidden="false"/>
    </xf>
    <xf numFmtId="165" fontId="0" fillId="12" borderId="0" xfId="21" applyFont="true" applyBorder="true" applyAlignment="true" applyProtection="false">
      <alignment horizontal="center" vertical="center" textRotation="0" wrapText="false" indent="0" shrinkToFit="false"/>
      <protection locked="true" hidden="false"/>
    </xf>
    <xf numFmtId="169" fontId="0" fillId="12" borderId="0" xfId="27" applyFont="true" applyBorder="true" applyAlignment="true" applyProtection="true">
      <alignment horizontal="center" vertical="center" textRotation="0" wrapText="false" indent="0" shrinkToFit="false"/>
      <protection locked="true" hidden="false"/>
    </xf>
    <xf numFmtId="164" fontId="33" fillId="3" borderId="0" xfId="24" applyFont="true" applyBorder="true" applyAlignment="true" applyProtection="true">
      <alignment horizontal="left" vertical="center" textRotation="0" wrapText="false" indent="1" shrinkToFit="false"/>
      <protection locked="true" hidden="false"/>
    </xf>
    <xf numFmtId="164" fontId="34" fillId="3"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2" shrinkToFit="false"/>
      <protection locked="true" hidden="false"/>
    </xf>
    <xf numFmtId="164" fontId="23" fillId="3" borderId="0" xfId="0" applyFont="true" applyBorder="false" applyAlignment="true" applyProtection="false">
      <alignment horizontal="left" vertical="center" textRotation="0" wrapText="false" indent="1" shrinkToFit="false"/>
      <protection locked="true" hidden="false"/>
    </xf>
    <xf numFmtId="164" fontId="23" fillId="3" borderId="0" xfId="0" applyFont="true" applyBorder="fals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true" indent="1"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zHiddenText" xfId="22"/>
    <cellStyle name="Excel Built-in Heading 1" xfId="23"/>
    <cellStyle name="Excel Built-in Title" xfId="24"/>
    <cellStyle name="Excel Built-in Accent3" xfId="25"/>
    <cellStyle name="Excel Built-in Heading 3" xfId="26"/>
    <cellStyle name="Excel Built-in Comma [0]" xfId="27"/>
    <cellStyle name="*unknown*" xfId="20" builtinId="8"/>
  </cellStyles>
  <dxfs count="81">
    <dxf>
      <fill>
        <patternFill patternType="solid">
          <fgColor rgb="FF404040"/>
          <bgColor rgb="FF000000"/>
        </patternFill>
      </fill>
    </dxf>
    <dxf>
      <fill>
        <patternFill patternType="solid">
          <bgColor rgb="FF000000"/>
        </patternFill>
      </fill>
    </dxf>
    <dxf>
      <fill>
        <patternFill patternType="solid">
          <fgColor rgb="FF000000"/>
          <bgColor rgb="FF000000"/>
        </patternFill>
      </fill>
    </dxf>
    <dxf>
      <fill>
        <patternFill patternType="solid">
          <fgColor rgb="FF0C1753"/>
          <bgColor rgb="FF000000"/>
        </patternFill>
      </fill>
    </dxf>
    <dxf>
      <fill>
        <patternFill patternType="solid">
          <fgColor rgb="FFFFFFFF"/>
          <bgColor rgb="FF000000"/>
        </patternFill>
      </fill>
    </dxf>
    <dxf>
      <font>
        <b val="1"/>
        <i val="0"/>
        <color rgb="FFFFFFFF"/>
      </font>
      <border diagonalUp="false" diagonalDown="false">
        <left style="thin">
          <color rgb="FFC00000"/>
        </left>
        <right style="thin">
          <color rgb="FFC00000"/>
        </right>
        <top/>
        <bottom/>
        <diagonal/>
      </border>
    </dxf>
    <dxf>
      <font>
        <color rgb="00FFFFFF"/>
      </font>
      <fill>
        <patternFill>
          <bgColor theme="0" tint="-0.05"/>
        </patternFill>
      </fill>
      <border diagonalUp="false" diagonalDown="false">
        <left/>
        <right/>
        <top/>
        <bottom style="thin">
          <color theme="0" tint="-0.35"/>
        </bottom>
        <diagonal/>
      </border>
    </dxf>
    <dxf>
      <font>
        <color rgb="00FFFFFF"/>
      </font>
      <fill>
        <patternFill>
          <bgColor theme="0" tint="-0.15"/>
        </patternFill>
      </fill>
      <border diagonalUp="false" diagonalDown="false">
        <left/>
        <right/>
        <top/>
        <bottom style="thin">
          <color theme="0" tint="-0.35"/>
        </bottom>
        <diagonal/>
      </border>
    </dxf>
    <dxf>
      <font>
        <color rgb="00FFFFFF"/>
      </font>
      <fill>
        <patternFill>
          <bgColor theme="0" tint="-0.15"/>
        </patternFill>
      </fill>
      <border diagonalUp="false" diagonalDown="false">
        <left/>
        <right/>
        <top/>
        <bottom style="thin">
          <color theme="0" tint="-0.35"/>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ont>
        <b val="1"/>
        <i val="0"/>
        <color rgb="FFFFFFFF"/>
      </font>
      <border diagonalUp="false" diagonalDown="false">
        <left style="thin">
          <color rgb="FFC00000"/>
        </left>
        <right style="thin">
          <color rgb="FFC00000"/>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patternType="solid">
          <fgColor rgb="FF262626"/>
          <bgColor rgb="FF000000"/>
        </patternFill>
      </fill>
    </dxf>
    <dxf>
      <fill>
        <patternFill patternType="solid">
          <fgColor rgb="FFD9D9D9"/>
          <bgColor rgb="FF000000"/>
        </patternFill>
      </fill>
    </dxf>
    <dxf>
      <font>
        <b val="1"/>
        <i val="0"/>
        <color rgb="FFFFFFFF"/>
      </font>
      <border diagonalUp="false" diagonalDown="false">
        <left style="thin">
          <color rgb="FFC00000"/>
        </left>
        <right style="thin">
          <color rgb="FFC00000"/>
        </right>
        <top/>
        <bottom/>
        <diagonal/>
      </border>
    </dxf>
    <dxf>
      <font>
        <color rgb="FFFFFFFF"/>
      </font>
      <fill>
        <patternFill>
          <bgColor theme="1" tint="0.4999"/>
        </patternFill>
      </fill>
      <border diagonalUp="false" diagonalDown="false">
        <left/>
        <right/>
        <top/>
        <bottom/>
        <diagonal/>
      </border>
    </dxf>
    <dxf>
      <font>
        <color rgb="FFFFFFFF"/>
      </font>
      <fill>
        <patternFill>
          <bgColor theme="1" tint="0.3499"/>
        </patternFill>
      </fill>
      <border diagonalUp="false" diagonalDown="false">
        <left/>
        <right/>
        <top/>
        <bottom/>
        <diagonal/>
      </border>
    </dxf>
    <dxf>
      <font>
        <color rgb="FFFFFFFF"/>
      </font>
      <fill>
        <patternFill>
          <bgColor theme="1" tint="0.3499"/>
        </patternFill>
      </fill>
      <border diagonalUp="false" diagonalDown="false">
        <left/>
        <right/>
        <top/>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
      <fill>
        <patternFill patternType="solid">
          <fgColor rgb="FF005878"/>
          <bgColor rgb="FF000000"/>
        </patternFill>
      </fill>
    </dxf>
    <dxf>
      <font>
        <b val="1"/>
        <i val="0"/>
        <color rgb="FFFFFFFF"/>
      </font>
      <border diagonalUp="false" diagonalDown="false">
        <left style="thin">
          <color rgb="FFC00000"/>
        </left>
        <right style="thin">
          <color rgb="FFC00000"/>
        </right>
        <top/>
        <bottom/>
        <diagonal/>
      </border>
    </dxf>
    <dxf>
      <font>
        <color rgb="00FFFFFF"/>
      </font>
      <fill>
        <patternFill>
          <bgColor theme="0" tint="-0.05"/>
        </patternFill>
      </fill>
      <border diagonalUp="false" diagonalDown="false">
        <left/>
        <right/>
        <top/>
        <bottom style="thin">
          <color theme="0" tint="-0.35"/>
        </bottom>
        <diagonal/>
      </border>
    </dxf>
    <dxf>
      <font>
        <color rgb="00FFFFFF"/>
      </font>
      <fill>
        <patternFill>
          <bgColor theme="0" tint="-0.15"/>
        </patternFill>
      </fill>
      <border diagonalUp="false" diagonalDown="false">
        <left/>
        <right/>
        <top/>
        <bottom style="thin">
          <color theme="0" tint="-0.35"/>
        </bottom>
        <diagonal/>
      </border>
    </dxf>
    <dxf>
      <font>
        <color rgb="00FFFFFF"/>
      </font>
      <fill>
        <patternFill>
          <bgColor theme="0" tint="-0.15"/>
        </patternFill>
      </fill>
      <border diagonalUp="false" diagonalDown="false">
        <left/>
        <right/>
        <top/>
        <bottom style="thin">
          <color theme="0" tint="-0.35"/>
        </bottom>
        <diagonal/>
      </border>
    </dxf>
    <dxf>
      <fill>
        <patternFill>
          <bgColor theme="9"/>
        </patternFill>
      </fill>
      <border diagonalUp="false" diagonalDown="false">
        <left/>
        <right/>
        <top/>
        <bottom/>
        <diagonal/>
      </border>
    </dxf>
    <dxf>
      <fill>
        <patternFill>
          <bgColor theme="7" tint="-0.25"/>
        </patternFill>
      </fill>
      <border diagonalUp="false" diagonalDown="false">
        <left/>
        <right/>
        <top/>
        <bottom/>
        <diagonal/>
      </border>
    </dxf>
    <dxf>
      <fill>
        <patternFill>
          <bgColor theme="6"/>
        </patternFill>
      </fill>
      <border diagonalUp="false" diagonalDown="false">
        <left/>
        <right/>
        <top/>
        <bottom/>
        <diagonal/>
      </border>
    </dxf>
    <dxf>
      <fill>
        <patternFill>
          <bgColor theme="5"/>
        </patternFill>
      </fill>
      <border diagonalUp="false" diagonalDown="false">
        <left/>
        <right/>
        <top/>
        <bottom/>
        <diagonal/>
      </border>
    </dxf>
    <dxf>
      <fill>
        <patternFill>
          <bgColor theme="2" tint="-0.1"/>
        </patternFill>
      </fill>
      <border diagonalUp="false" diagonalDown="false">
        <left/>
        <right/>
        <top/>
        <bottom/>
        <diagonal/>
      </border>
    </dxf>
    <dxf>
      <fill>
        <patternFill>
          <bgColor theme="6"/>
        </patternFill>
      </fill>
      <border diagonalUp="false" diagonalDown="false">
        <left style="thin">
          <color theme="6"/>
        </left>
        <right style="thin">
          <color theme="6"/>
        </right>
        <top style="thin">
          <color theme="0"/>
        </top>
        <bottom style="thin">
          <color theme="0"/>
        </bottom>
        <diagonal/>
      </border>
    </dxf>
    <dxf>
      <fill>
        <patternFill>
          <bgColor theme="7" tint="-0.25"/>
        </patternFill>
      </fill>
      <border diagonalUp="false" diagonalDown="false">
        <left style="thin">
          <color theme="7" tint="-0.25"/>
        </left>
        <right style="thin">
          <color theme="7" tint="-0.25"/>
        </right>
        <top style="thin">
          <color theme="0"/>
        </top>
        <bottom style="thin">
          <color theme="0"/>
        </bottom>
        <diagonal/>
      </border>
    </dxf>
    <dxf>
      <fill>
        <patternFill>
          <bgColor theme="4"/>
        </patternFill>
      </fill>
      <border diagonalUp="false" diagonalDown="false">
        <left style="thin">
          <color theme="4"/>
        </left>
        <right style="thin">
          <color theme="4"/>
        </right>
        <top style="thin">
          <color theme="0"/>
        </top>
        <bottom style="thin">
          <color theme="0"/>
        </bottom>
        <diagonal/>
      </border>
    </dxf>
    <dxf>
      <fill>
        <patternFill>
          <bgColor theme="9" tint="-0.25"/>
        </patternFill>
      </fill>
      <border diagonalUp="false" diagonalDown="false">
        <left style="thin">
          <color theme="9" tint="-0.25"/>
        </left>
        <right style="thin">
          <color theme="9" tint="-0.25"/>
        </right>
        <top style="thin">
          <color theme="0"/>
        </top>
        <bottom style="thin">
          <color theme="0"/>
        </bottom>
        <diagonal/>
      </border>
    </dxf>
    <dxf>
      <fill>
        <patternFill>
          <bgColor theme="2" tint="-0.1"/>
        </patternFill>
      </fill>
      <border diagonalUp="false" diagonalDown="false">
        <left style="thin">
          <color theme="2" tint="-0.1"/>
        </left>
        <right style="thin">
          <color theme="2" tint="-0.1"/>
        </right>
        <top style="thin">
          <color theme="0"/>
        </top>
        <bottom style="thin">
          <color theme="0"/>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4B4"/>
      <rgbColor rgb="FFBFBFBF"/>
      <rgbColor rgb="FF808080"/>
      <rgbColor rgb="FF8E9DEF"/>
      <rgbColor rgb="FF862B99"/>
      <rgbColor rgb="FFF2F2F2"/>
      <rgbColor rgb="FFE6E6E6"/>
      <rgbColor rgb="FF660066"/>
      <rgbColor rgb="FFFF8080"/>
      <rgbColor rgb="FF005878"/>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868E5"/>
      <rgbColor rgb="FF0EABB7"/>
      <rgbColor rgb="FF99CC00"/>
      <rgbColor rgb="FFFFCC00"/>
      <rgbColor rgb="FFFF9900"/>
      <rgbColor rgb="FFFF6600"/>
      <rgbColor rgb="FF595959"/>
      <rgbColor rgb="FFA6A6A6"/>
      <rgbColor rgb="FF0C1753"/>
      <rgbColor rgb="FF20A472"/>
      <rgbColor rgb="FF003300"/>
      <rgbColor rgb="FF40404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2362320</xdr:colOff>
      <xdr:row>1</xdr:row>
      <xdr:rowOff>93960</xdr:rowOff>
    </xdr:from>
    <xdr:to>
      <xdr:col>5</xdr:col>
      <xdr:colOff>152280</xdr:colOff>
      <xdr:row>2</xdr:row>
      <xdr:rowOff>51480</xdr:rowOff>
    </xdr:to>
    <xdr:pic>
      <xdr:nvPicPr>
        <xdr:cNvPr id="0" name="Graphic 1" descr="Gantt Chart with solid fill"/>
        <xdr:cNvPicPr/>
      </xdr:nvPicPr>
      <xdr:blipFill>
        <a:blip r:embed="rId1">
          <a:extLst>
            <a:ext uri="{96DAC541-7B7A-43D3-8B79-37D633B846F1}">
              <asvg:svgBlip xmlns:asvg="http://schemas.microsoft.com/office/drawing/2016/SVG/main" r:embed="rId2"/>
            </a:ext>
          </a:extLst>
        </a:blip>
        <a:stretch/>
      </xdr:blipFill>
      <xdr:spPr>
        <a:xfrm>
          <a:off x="9509760" y="434160"/>
          <a:ext cx="1057320" cy="586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4</xdr:col>
          <xdr:colOff>1602000</xdr:colOff>
          <xdr:row>4</xdr:row>
          <xdr:rowOff>764640</xdr:rowOff>
        </xdr:from>
        <xdr:to>
          <xdr:col>24</xdr:col>
          <xdr:colOff>559800</xdr:colOff>
          <xdr:row>5</xdr:row>
          <xdr:rowOff>50040</xdr:rowOff>
        </xdr:to>
        <xdr:sp>
          <xdr:nvSpPr>
            <xdr:cNvPr id="0" name="Scroll Bar 1"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3.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4</xdr:col>
          <xdr:colOff>1602000</xdr:colOff>
          <xdr:row>4</xdr:row>
          <xdr:rowOff>764640</xdr:rowOff>
        </xdr:from>
        <xdr:to>
          <xdr:col>24</xdr:col>
          <xdr:colOff>559800</xdr:colOff>
          <xdr:row>5</xdr:row>
          <xdr:rowOff>50040</xdr:rowOff>
        </xdr:to>
        <xdr:sp>
          <xdr:nvSpPr>
            <xdr:cNvPr id="0" name="Scroll Bar 1"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4.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4</xdr:col>
          <xdr:colOff>1602000</xdr:colOff>
          <xdr:row>4</xdr:row>
          <xdr:rowOff>764640</xdr:rowOff>
        </xdr:from>
        <xdr:to>
          <xdr:col>24</xdr:col>
          <xdr:colOff>559800</xdr:colOff>
          <xdr:row>5</xdr:row>
          <xdr:rowOff>50040</xdr:rowOff>
        </xdr:to>
        <xdr:sp>
          <xdr:nvSpPr>
            <xdr:cNvPr id="0" name="Scroll Bar 1"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Milestones435" displayName="Milestones435" ref="B9:G36" headerRowCount="1" totalsRowCount="0" totalsRowShown="0">
  <autoFilter ref="B9:G36">
    <filterColumn colId="0" hiddenButton="1"/>
    <filterColumn colId="1" hiddenButton="1"/>
    <filterColumn colId="2" hiddenButton="1"/>
    <filterColumn colId="3" hiddenButton="1"/>
    <filterColumn colId="4" hiddenButton="1"/>
    <filterColumn colId="5" hiddenButton="1"/>
  </autoFilter>
  <tableColumns count="6">
    <tableColumn id="1" name="Milestone description"/>
    <tableColumn id="2" name="Category"/>
    <tableColumn id="3" name="Assigned to"/>
    <tableColumn id="4" name="Progress"/>
    <tableColumn id="5" name="Start"/>
    <tableColumn id="6" name="Days"/>
  </tableColumns>
</table>
</file>

<file path=xl/tables/table2.xml><?xml version="1.0" encoding="utf-8"?>
<table xmlns="http://schemas.openxmlformats.org/spreadsheetml/2006/main" id="2" name="Milestones4352" displayName="Milestones4352" ref="B9:G73" headerRowCount="1" totalsRowCount="0" totalsRowShown="0">
  <autoFilter ref="B9:G73">
    <filterColumn colId="0" hiddenButton="1"/>
    <filterColumn colId="1" hiddenButton="1"/>
    <filterColumn colId="2" hiddenButton="1"/>
    <filterColumn colId="3" hiddenButton="1"/>
    <filterColumn colId="4" hiddenButton="1"/>
    <filterColumn colId="5" hiddenButton="1"/>
  </autoFilter>
  <tableColumns count="6">
    <tableColumn id="1" name="Milestone description"/>
    <tableColumn id="2" name="Column1"/>
    <tableColumn id="3" name="Assigned to"/>
    <tableColumn id="4" name="Progress"/>
    <tableColumn id="5" name="Start"/>
    <tableColumn id="6" name="Days"/>
  </tableColumns>
</table>
</file>

<file path=xl/tables/table3.xml><?xml version="1.0" encoding="utf-8"?>
<table xmlns="http://schemas.openxmlformats.org/spreadsheetml/2006/main" id="3" name="Milestones43524" displayName="Milestones43524" ref="B9:G36" headerRowCount="1" totalsRowCount="0" totalsRowShown="0">
  <autoFilter ref="B9:G36">
    <filterColumn colId="0" hiddenButton="1"/>
    <filterColumn colId="1" hiddenButton="1"/>
    <filterColumn colId="2" hiddenButton="1"/>
    <filterColumn colId="3" hiddenButton="1"/>
    <filterColumn colId="4" hiddenButton="1"/>
    <filterColumn colId="5" hiddenButton="1"/>
  </autoFilter>
  <tableColumns count="6">
    <tableColumn id="1" name="Milestone description"/>
    <tableColumn id="2" name="Category"/>
    <tableColumn id="3" name="Assigned to"/>
    <tableColumn id="4" name="Progress"/>
    <tableColumn id="5" name="Start"/>
    <tableColumn id="6" name="Days"/>
  </tableColumns>
</table>
</file>

<file path=xl/theme/theme1.xml><?xml version="1.0" encoding="utf-8"?>
<a:theme xmlns:a="http://schemas.openxmlformats.org/drawingml/2006/main" xmlns:r="http://schemas.openxmlformats.org/officeDocument/2006/relationships" name="Attitude">
  <a:themeElements>
    <a:clrScheme name="Custom 60">
      <a:dk1>
        <a:srgbClr val="000000"/>
      </a:dk1>
      <a:lt1>
        <a:srgbClr val="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A7" activeCellId="0" sqref="A7"/>
    </sheetView>
  </sheetViews>
  <sheetFormatPr defaultColWidth="9.16796875" defaultRowHeight="13.5" zeroHeight="false" outlineLevelRow="0" outlineLevelCol="0"/>
  <cols>
    <col collapsed="false" customWidth="true" hidden="false" outlineLevel="0" max="1" min="1" style="1" width="4.83"/>
    <col collapsed="false" customWidth="true" hidden="false" outlineLevel="0" max="2" min="2" style="1" width="2.83"/>
    <col collapsed="false" customWidth="true" hidden="false" outlineLevel="0" max="5" min="3" style="2" width="40.83"/>
    <col collapsed="false" customWidth="true" hidden="false" outlineLevel="0" max="6" min="6" style="2" width="2.83"/>
    <col collapsed="false" customWidth="false" hidden="false" outlineLevel="0" max="16384" min="7" style="2" width="9.17"/>
  </cols>
  <sheetData>
    <row r="1" s="3" customFormat="true" ht="26.8" hidden="false" customHeight="false" outlineLevel="0" collapsed="false">
      <c r="D1" s="4"/>
    </row>
    <row r="2" customFormat="false" ht="49.5" hidden="false" customHeight="true" outlineLevel="0" collapsed="false">
      <c r="A2" s="3"/>
      <c r="B2" s="5"/>
      <c r="C2" s="6" t="s">
        <v>0</v>
      </c>
      <c r="D2" s="6"/>
      <c r="E2" s="6"/>
      <c r="F2" s="5"/>
      <c r="G2" s="3"/>
      <c r="H2" s="3"/>
      <c r="I2" s="3"/>
      <c r="J2" s="3"/>
      <c r="K2" s="3"/>
      <c r="L2" s="3"/>
      <c r="M2" s="3"/>
    </row>
    <row r="3" customFormat="false" ht="14.25" hidden="false" customHeight="true" outlineLevel="0" collapsed="false">
      <c r="A3" s="3"/>
      <c r="B3" s="7"/>
      <c r="C3" s="8"/>
      <c r="D3" s="9"/>
      <c r="E3" s="7"/>
      <c r="F3" s="7"/>
      <c r="G3" s="3"/>
      <c r="H3" s="3"/>
      <c r="I3" s="3"/>
      <c r="J3" s="3"/>
      <c r="K3" s="3"/>
      <c r="L3" s="3"/>
      <c r="M3" s="3"/>
    </row>
    <row r="4" s="1" customFormat="true" ht="66.75" hidden="false" customHeight="true" outlineLevel="0" collapsed="false">
      <c r="A4" s="3"/>
      <c r="B4" s="7"/>
      <c r="C4" s="10" t="s">
        <v>1</v>
      </c>
      <c r="D4" s="10"/>
      <c r="E4" s="10"/>
      <c r="F4" s="7"/>
      <c r="G4" s="3"/>
      <c r="H4" s="3"/>
      <c r="I4" s="3"/>
      <c r="J4" s="3"/>
      <c r="K4" s="3"/>
      <c r="L4" s="3"/>
      <c r="M4" s="3"/>
    </row>
    <row r="5" s="1" customFormat="true" ht="66.75" hidden="false" customHeight="true" outlineLevel="0" collapsed="false">
      <c r="A5" s="3"/>
      <c r="B5" s="7"/>
      <c r="C5" s="10" t="s">
        <v>2</v>
      </c>
      <c r="D5" s="10"/>
      <c r="E5" s="10"/>
      <c r="F5" s="7"/>
      <c r="G5" s="3"/>
      <c r="H5" s="3"/>
      <c r="I5" s="3"/>
      <c r="J5" s="3"/>
      <c r="K5" s="3"/>
      <c r="L5" s="3"/>
      <c r="M5" s="3"/>
    </row>
    <row r="6" s="2" customFormat="true" ht="13.8" hidden="false" customHeight="false" outlineLevel="0" collapsed="false">
      <c r="B6" s="11"/>
      <c r="C6" s="11"/>
      <c r="D6" s="12"/>
      <c r="E6" s="11"/>
      <c r="F6" s="11"/>
    </row>
    <row r="7" s="2" customFormat="true" ht="49.5" hidden="false" customHeight="true" outlineLevel="0" collapsed="false"/>
    <row r="8" s="2" customFormat="true" ht="14.25" hidden="false" customHeight="true" outlineLevel="0" collapsed="false"/>
    <row r="9" customFormat="false" ht="90" hidden="false" customHeight="true" outlineLevel="0" collapsed="false">
      <c r="C9" s="1"/>
      <c r="D9" s="1"/>
      <c r="E9" s="1"/>
      <c r="F9" s="1"/>
      <c r="G9" s="1"/>
      <c r="H9" s="1"/>
    </row>
    <row r="10" s="2" customFormat="true" ht="14.25" hidden="false" customHeight="true" outlineLevel="0" collapsed="false"/>
    <row r="11" s="2" customFormat="true" ht="13.5" hidden="false" customHeight="false" outlineLevel="0" collapsed="false">
      <c r="D11" s="1"/>
    </row>
    <row r="12" s="2" customFormat="true" ht="13.5" hidden="false" customHeight="false" outlineLevel="0" collapsed="false">
      <c r="D12" s="1"/>
    </row>
    <row r="13" s="2" customFormat="true" ht="13.5" hidden="false" customHeight="false" outlineLevel="0" collapsed="false">
      <c r="D13" s="1"/>
    </row>
    <row r="14" s="2" customFormat="true" ht="13.5" hidden="false" customHeight="false" outlineLevel="0" collapsed="false">
      <c r="D14" s="1"/>
    </row>
    <row r="15" s="2" customFormat="true" ht="13.5" hidden="false" customHeight="false" outlineLevel="0" collapsed="false">
      <c r="D15" s="1"/>
    </row>
    <row r="16" s="2" customFormat="true" ht="13.5" hidden="false" customHeight="false" outlineLevel="0" collapsed="false">
      <c r="D16" s="1"/>
    </row>
    <row r="17" s="2" customFormat="true" ht="13.5" hidden="false" customHeight="false" outlineLevel="0" collapsed="false">
      <c r="D17" s="1"/>
    </row>
    <row r="18" s="2" customFormat="true" ht="13.5" hidden="false" customHeight="false" outlineLevel="0" collapsed="false">
      <c r="D18" s="1"/>
    </row>
    <row r="19" s="2" customFormat="true" ht="13.5" hidden="false" customHeight="false" outlineLevel="0" collapsed="false">
      <c r="D19" s="1"/>
    </row>
  </sheetData>
  <mergeCells count="3">
    <mergeCell ref="C2:E2"/>
    <mergeCell ref="C4:E4"/>
    <mergeCell ref="C5:E5"/>
  </mergeCell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75"/>
  <sheetViews>
    <sheetView showFormulas="false" showGridLines="false" showRowColHeaders="true" showZeros="true" rightToLeft="false" tabSelected="true" showOutlineSymbols="true" defaultGridColor="true" view="normal" topLeftCell="A25" colorId="64" zoomScale="113" zoomScaleNormal="113" zoomScalePageLayoutView="100" workbookViewId="0">
      <selection pane="topLeft" activeCell="E61" activeCellId="0" sqref="E61"/>
    </sheetView>
  </sheetViews>
  <sheetFormatPr defaultColWidth="8.8359375" defaultRowHeight="30" zeroHeight="false" outlineLevelRow="0" outlineLevelCol="0"/>
  <cols>
    <col collapsed="false" customWidth="true" hidden="false" outlineLevel="0" max="1" min="1" style="13" width="4.83"/>
    <col collapsed="false" customWidth="true" hidden="false" outlineLevel="0" max="2" min="2" style="0" width="30.83"/>
    <col collapsed="false" customWidth="true" hidden="false" outlineLevel="0" max="3" min="3" style="0" width="13.5"/>
    <col collapsed="false" customWidth="true" hidden="false" outlineLevel="0" max="4" min="4" style="0" width="20.5"/>
    <col collapsed="false" customWidth="true" hidden="false" outlineLevel="0" max="5" min="5" style="0" width="15.83"/>
    <col collapsed="false" customWidth="true" hidden="false" outlineLevel="0" max="6" min="6" style="14" width="10.5"/>
    <col collapsed="false" customWidth="true" hidden="false" outlineLevel="0" max="7" min="7" style="0" width="10.5"/>
    <col collapsed="false" customWidth="true" hidden="false" outlineLevel="0" max="8" min="8" style="0" width="2.5"/>
    <col collapsed="false" customWidth="true" hidden="false" outlineLevel="0" max="64" min="9" style="0" width="3.5"/>
    <col collapsed="false" customWidth="true" hidden="false" outlineLevel="0" max="65" min="65" style="0" width="2.5"/>
  </cols>
  <sheetData>
    <row r="1" customFormat="false" ht="24.75" hidden="false" customHeight="true" outlineLevel="0" collapsed="false"/>
    <row r="2" customFormat="false" ht="49.5" hidden="false" customHeight="true" outlineLevel="0" collapsed="false">
      <c r="A2" s="15"/>
      <c r="B2" s="16" t="s">
        <v>3</v>
      </c>
      <c r="C2" s="16"/>
      <c r="D2" s="16"/>
      <c r="E2" s="16"/>
      <c r="F2" s="16"/>
      <c r="G2" s="16"/>
      <c r="H2" s="16"/>
      <c r="I2" s="17"/>
      <c r="J2" s="17"/>
      <c r="K2" s="17"/>
      <c r="L2" s="17"/>
      <c r="M2" s="17"/>
      <c r="N2" s="17"/>
      <c r="O2" s="18"/>
      <c r="P2" s="18"/>
      <c r="Q2" s="18"/>
      <c r="R2" s="18"/>
      <c r="S2" s="18"/>
      <c r="T2" s="18"/>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row>
    <row r="3" customFormat="false" ht="19.5" hidden="false" customHeight="true" outlineLevel="0" collapsed="false">
      <c r="A3" s="15"/>
      <c r="B3" s="20"/>
      <c r="C3" s="21"/>
      <c r="D3" s="22"/>
      <c r="E3" s="22"/>
      <c r="F3" s="23"/>
      <c r="G3" s="22"/>
      <c r="H3" s="22"/>
      <c r="I3" s="24"/>
      <c r="J3" s="25"/>
      <c r="K3" s="25"/>
      <c r="L3" s="25"/>
    </row>
    <row r="4" customFormat="false" ht="30" hidden="false" customHeight="true" outlineLevel="0" collapsed="false">
      <c r="A4" s="15"/>
      <c r="B4" s="26" t="s">
        <v>4</v>
      </c>
      <c r="C4" s="27"/>
      <c r="D4" s="28"/>
      <c r="E4" s="29"/>
      <c r="F4" s="30"/>
      <c r="G4" s="31" t="s">
        <v>5</v>
      </c>
      <c r="H4" s="29"/>
      <c r="I4" s="32" t="s">
        <v>6</v>
      </c>
      <c r="J4" s="32"/>
      <c r="K4" s="32"/>
      <c r="L4" s="32"/>
      <c r="N4" s="33" t="s">
        <v>7</v>
      </c>
      <c r="O4" s="33"/>
      <c r="P4" s="33"/>
      <c r="Q4" s="33"/>
      <c r="S4" s="34" t="s">
        <v>8</v>
      </c>
      <c r="T4" s="34"/>
      <c r="U4" s="34"/>
      <c r="V4" s="34"/>
      <c r="X4" s="35" t="s">
        <v>9</v>
      </c>
      <c r="Y4" s="35"/>
      <c r="Z4" s="35"/>
      <c r="AA4" s="35"/>
      <c r="AC4" s="36" t="s">
        <v>10</v>
      </c>
      <c r="AD4" s="36"/>
      <c r="AE4" s="36"/>
      <c r="AF4" s="36"/>
    </row>
    <row r="5" customFormat="false" ht="30" hidden="false" customHeight="true" outlineLevel="0" collapsed="false">
      <c r="A5" s="15"/>
      <c r="B5" s="37"/>
      <c r="C5" s="28"/>
      <c r="D5" s="28"/>
      <c r="E5" s="29"/>
      <c r="F5" s="30"/>
      <c r="G5" s="29"/>
      <c r="H5" s="29"/>
    </row>
    <row r="6" customFormat="false" ht="30" hidden="false" customHeight="true" outlineLevel="0" collapsed="false">
      <c r="A6" s="15"/>
      <c r="B6" s="38" t="s">
        <v>11</v>
      </c>
      <c r="C6" s="39" t="e">
        <f aca="false" t="array" ref="C6:C6">IFERROR(IF(MIN(Milestones4352[Start])=0,DATE(2025,2,26),B11(Milestones4352[Start])),DATE(2025,9,3))</f>
        <v>#VALUE!</v>
      </c>
      <c r="D6" s="40"/>
      <c r="E6" s="29"/>
      <c r="F6" s="30"/>
      <c r="G6" s="29"/>
      <c r="H6" s="29"/>
      <c r="I6" s="41" t="str">
        <f aca="false">TEXT(I7,"mmmm")</f>
        <v>November</v>
      </c>
      <c r="J6" s="42"/>
      <c r="K6" s="42"/>
      <c r="L6" s="42"/>
      <c r="M6" s="42"/>
      <c r="N6" s="42"/>
      <c r="O6" s="42"/>
      <c r="P6" s="42" t="str">
        <f aca="false">IF(TEXT(P7,"mmmm")=I6,"",TEXT(P7,"mmmm"))</f>
        <v/>
      </c>
      <c r="Q6" s="42"/>
      <c r="R6" s="42"/>
      <c r="S6" s="42"/>
      <c r="T6" s="42"/>
      <c r="U6" s="42"/>
      <c r="V6" s="42"/>
      <c r="W6" s="42" t="str">
        <f aca="false">IF(OR(TEXT(W7,"mmmm")=P6,TEXT(W7,"mmmm")=I6),"",TEXT(W7,"mmmm"))</f>
        <v/>
      </c>
      <c r="X6" s="42"/>
      <c r="Y6" s="42"/>
      <c r="Z6" s="42"/>
      <c r="AA6" s="42"/>
      <c r="AB6" s="42"/>
      <c r="AC6" s="42"/>
      <c r="AD6" s="42" t="str">
        <f aca="false">IF(OR(TEXT(AD7,"mmmm")=W6,TEXT(AD7,"mmmm")=P6,TEXT(AD7,"mmmm")=I6),"",TEXT(AD7,"mmmm"))</f>
        <v/>
      </c>
      <c r="AE6" s="42"/>
      <c r="AF6" s="42"/>
      <c r="AG6" s="42"/>
      <c r="AH6" s="42"/>
      <c r="AI6" s="42"/>
      <c r="AJ6" s="42"/>
      <c r="AK6" s="42" t="str">
        <f aca="false">IF(OR(TEXT(AK7,"mmmm")=AD6,TEXT(AK7,"mmmm")=W6,TEXT(AK7,"mmmm")=P6,TEXT(AK7,"mmmm")=I6),"",TEXT(AK7,"mmmm"))</f>
        <v>December</v>
      </c>
      <c r="AL6" s="42"/>
      <c r="AM6" s="42"/>
      <c r="AN6" s="42"/>
      <c r="AO6" s="42"/>
      <c r="AP6" s="42"/>
      <c r="AQ6" s="42"/>
      <c r="AR6" s="42" t="str">
        <f aca="false">IF(OR(TEXT(AR7,"mmmm")=AK6,TEXT(AR7,"mmmm")=AD6,TEXT(AR7,"mmmm")=W6,TEXT(AR7,"mmmm")=P6),"",TEXT(AR7,"mmmm"))</f>
        <v/>
      </c>
      <c r="AS6" s="42"/>
      <c r="AT6" s="42"/>
      <c r="AU6" s="42"/>
      <c r="AV6" s="42"/>
      <c r="AW6" s="42"/>
      <c r="AX6" s="43"/>
      <c r="AY6" s="43" t="str">
        <f aca="false">IF(OR(TEXT(AY7,"mmmm")=AR6,TEXT(AY7,"mmmm")=AK6,TEXT(AY7,"mmmm")=AD6,TEXT(AY7,"mmmm")=W6),"",TEXT(AY7,"mmmm"))</f>
        <v/>
      </c>
      <c r="AZ6" s="43"/>
      <c r="BA6" s="43"/>
      <c r="BB6" s="44"/>
      <c r="BC6" s="45"/>
      <c r="BD6" s="45"/>
      <c r="BE6" s="45"/>
      <c r="BF6" s="45" t="str">
        <f aca="false">IF(OR(TEXT(BF7,"mmmm")=AY6,TEXT(BF7,"mmmm")=AR6,TEXT(BF7,"mmmm")=AK6,TEXT(BF7,"mmmm")=AD6),"",TEXT(BF7,"mmmm"))</f>
        <v/>
      </c>
      <c r="BG6" s="45"/>
      <c r="BH6" s="45"/>
      <c r="BI6" s="45"/>
      <c r="BJ6" s="45"/>
      <c r="BK6" s="45"/>
      <c r="BL6" s="45"/>
      <c r="BM6" s="45"/>
    </row>
    <row r="7" customFormat="false" ht="30" hidden="false" customHeight="true" outlineLevel="0" collapsed="false">
      <c r="A7" s="15"/>
      <c r="B7" s="38"/>
      <c r="C7" s="46" t="n">
        <v>20</v>
      </c>
      <c r="D7" s="28"/>
      <c r="E7" s="29"/>
      <c r="F7" s="29"/>
      <c r="G7" s="29"/>
      <c r="H7" s="47"/>
      <c r="I7" s="48" t="n">
        <f aca="true">IFERROR(Project_Start+Scrolling_Increment,TODAY())</f>
        <v>45965</v>
      </c>
      <c r="J7" s="49" t="n">
        <f aca="false">I7+1</f>
        <v>45966</v>
      </c>
      <c r="K7" s="49" t="n">
        <f aca="false">J7+1</f>
        <v>45967</v>
      </c>
      <c r="L7" s="49" t="n">
        <f aca="false">K7+1</f>
        <v>45968</v>
      </c>
      <c r="M7" s="49" t="n">
        <f aca="false">L7+1</f>
        <v>45969</v>
      </c>
      <c r="N7" s="49" t="n">
        <f aca="false">M7+1</f>
        <v>45970</v>
      </c>
      <c r="O7" s="50" t="n">
        <f aca="false">N7+1</f>
        <v>45971</v>
      </c>
      <c r="P7" s="49" t="n">
        <f aca="false">O7+1</f>
        <v>45972</v>
      </c>
      <c r="Q7" s="49" t="n">
        <f aca="false">P7+1</f>
        <v>45973</v>
      </c>
      <c r="R7" s="49" t="n">
        <f aca="false">Q7+1</f>
        <v>45974</v>
      </c>
      <c r="S7" s="49" t="n">
        <f aca="false">R7+1</f>
        <v>45975</v>
      </c>
      <c r="T7" s="49" t="n">
        <f aca="false">S7+1</f>
        <v>45976</v>
      </c>
      <c r="U7" s="49" t="n">
        <f aca="false">T7+1</f>
        <v>45977</v>
      </c>
      <c r="V7" s="50" t="n">
        <f aca="false">U7+1</f>
        <v>45978</v>
      </c>
      <c r="W7" s="49" t="n">
        <f aca="false">V7+1</f>
        <v>45979</v>
      </c>
      <c r="X7" s="49" t="n">
        <f aca="false">W7+1</f>
        <v>45980</v>
      </c>
      <c r="Y7" s="49" t="n">
        <f aca="false">X7+1</f>
        <v>45981</v>
      </c>
      <c r="Z7" s="49" t="n">
        <f aca="false">Y7+1</f>
        <v>45982</v>
      </c>
      <c r="AA7" s="49" t="n">
        <f aca="false">Z7+1</f>
        <v>45983</v>
      </c>
      <c r="AB7" s="49" t="n">
        <f aca="false">AA7+1</f>
        <v>45984</v>
      </c>
      <c r="AC7" s="50" t="n">
        <f aca="false">AB7+1</f>
        <v>45985</v>
      </c>
      <c r="AD7" s="49" t="n">
        <f aca="false">AC7+1</f>
        <v>45986</v>
      </c>
      <c r="AE7" s="49" t="n">
        <f aca="false">AD7+1</f>
        <v>45987</v>
      </c>
      <c r="AF7" s="49" t="n">
        <f aca="false">AE7+1</f>
        <v>45988</v>
      </c>
      <c r="AG7" s="49" t="n">
        <f aca="false">AF7+1</f>
        <v>45989</v>
      </c>
      <c r="AH7" s="49" t="n">
        <f aca="false">AG7+1</f>
        <v>45990</v>
      </c>
      <c r="AI7" s="49" t="n">
        <f aca="false">AH7+1</f>
        <v>45991</v>
      </c>
      <c r="AJ7" s="50" t="n">
        <f aca="false">AI7+1</f>
        <v>45992</v>
      </c>
      <c r="AK7" s="49" t="n">
        <f aca="false">AJ7+1</f>
        <v>45993</v>
      </c>
      <c r="AL7" s="49" t="n">
        <f aca="false">AK7+1</f>
        <v>45994</v>
      </c>
      <c r="AM7" s="49" t="n">
        <f aca="false">AL7+1</f>
        <v>45995</v>
      </c>
      <c r="AN7" s="49" t="n">
        <f aca="false">AM7+1</f>
        <v>45996</v>
      </c>
      <c r="AO7" s="49" t="n">
        <f aca="false">AN7+1</f>
        <v>45997</v>
      </c>
      <c r="AP7" s="49" t="n">
        <f aca="false">AO7+1</f>
        <v>45998</v>
      </c>
      <c r="AQ7" s="50" t="n">
        <f aca="false">AP7+1</f>
        <v>45999</v>
      </c>
      <c r="AR7" s="49" t="n">
        <f aca="false">AQ7+1</f>
        <v>46000</v>
      </c>
      <c r="AS7" s="49" t="n">
        <f aca="false">AR7+1</f>
        <v>46001</v>
      </c>
      <c r="AT7" s="49" t="n">
        <f aca="false">AS7+1</f>
        <v>46002</v>
      </c>
      <c r="AU7" s="49" t="n">
        <f aca="false">AT7+1</f>
        <v>46003</v>
      </c>
      <c r="AV7" s="49" t="n">
        <f aca="false">AU7+1</f>
        <v>46004</v>
      </c>
      <c r="AW7" s="49" t="n">
        <f aca="false">AV7+1</f>
        <v>46005</v>
      </c>
      <c r="AX7" s="50" t="n">
        <f aca="false">AW7+1</f>
        <v>46006</v>
      </c>
      <c r="AY7" s="49" t="n">
        <f aca="false">AX7+1</f>
        <v>46007</v>
      </c>
      <c r="AZ7" s="49" t="n">
        <f aca="false">AY7+1</f>
        <v>46008</v>
      </c>
      <c r="BA7" s="49" t="n">
        <f aca="false">AZ7+1</f>
        <v>46009</v>
      </c>
      <c r="BB7" s="49" t="n">
        <f aca="false">BA7+1</f>
        <v>46010</v>
      </c>
      <c r="BC7" s="49" t="n">
        <f aca="false">BB7+1</f>
        <v>46011</v>
      </c>
      <c r="BD7" s="49" t="n">
        <f aca="false">BC7+1</f>
        <v>46012</v>
      </c>
      <c r="BE7" s="50" t="n">
        <f aca="false">BD7+1</f>
        <v>46013</v>
      </c>
      <c r="BF7" s="49" t="n">
        <f aca="false">BE7+1</f>
        <v>46014</v>
      </c>
      <c r="BG7" s="49" t="n">
        <f aca="false">BF7+1</f>
        <v>46015</v>
      </c>
      <c r="BH7" s="49" t="n">
        <f aca="false">BG7+1</f>
        <v>46016</v>
      </c>
      <c r="BI7" s="49" t="n">
        <f aca="false">BH7+1</f>
        <v>46017</v>
      </c>
      <c r="BJ7" s="49" t="n">
        <f aca="false">BI7+1</f>
        <v>46018</v>
      </c>
      <c r="BK7" s="49" t="n">
        <f aca="false">BJ7+1</f>
        <v>46019</v>
      </c>
      <c r="BL7" s="50" t="n">
        <f aca="false">BK7+1</f>
        <v>46020</v>
      </c>
    </row>
    <row r="8" customFormat="false" ht="19.5" hidden="false" customHeight="true" outlineLevel="0" collapsed="false">
      <c r="A8" s="15"/>
      <c r="B8" s="28"/>
      <c r="C8" s="28"/>
      <c r="D8" s="28"/>
      <c r="E8" s="29"/>
      <c r="F8" s="29"/>
      <c r="G8" s="29"/>
      <c r="H8" s="47"/>
      <c r="I8" s="51"/>
      <c r="J8" s="52"/>
      <c r="K8" s="52"/>
      <c r="L8" s="52"/>
      <c r="M8" s="52"/>
      <c r="N8" s="52"/>
      <c r="O8" s="52"/>
      <c r="P8" s="53"/>
      <c r="Q8" s="52"/>
      <c r="R8" s="52"/>
      <c r="S8" s="52"/>
      <c r="T8" s="52"/>
      <c r="U8" s="52"/>
      <c r="V8" s="54"/>
      <c r="W8" s="52"/>
      <c r="X8" s="52"/>
      <c r="Y8" s="52"/>
      <c r="Z8" s="52"/>
      <c r="AA8" s="52"/>
      <c r="AB8" s="52"/>
      <c r="AC8" s="54"/>
      <c r="AD8" s="52"/>
      <c r="AE8" s="52"/>
      <c r="AF8" s="52"/>
      <c r="AG8" s="52"/>
      <c r="AH8" s="52"/>
      <c r="AI8" s="52"/>
      <c r="AJ8" s="54"/>
      <c r="AK8" s="52"/>
      <c r="AL8" s="52"/>
      <c r="AM8" s="52"/>
      <c r="AN8" s="52"/>
      <c r="AO8" s="52"/>
      <c r="AP8" s="52"/>
      <c r="AQ8" s="54"/>
      <c r="AR8" s="52"/>
      <c r="AS8" s="52"/>
      <c r="AT8" s="52"/>
      <c r="AU8" s="52"/>
      <c r="AV8" s="52"/>
      <c r="AW8" s="52"/>
      <c r="AX8" s="54"/>
      <c r="AY8" s="52"/>
      <c r="AZ8" s="52"/>
      <c r="BA8" s="52"/>
      <c r="BB8" s="52"/>
      <c r="BC8" s="52"/>
      <c r="BD8" s="52"/>
      <c r="BE8" s="54"/>
      <c r="BF8" s="52"/>
      <c r="BG8" s="52"/>
      <c r="BH8" s="52"/>
      <c r="BI8" s="52"/>
      <c r="BJ8" s="52"/>
      <c r="BK8" s="52"/>
      <c r="BL8" s="55"/>
    </row>
    <row r="9" customFormat="false" ht="39.75" hidden="false" customHeight="true" outlineLevel="0" collapsed="false">
      <c r="A9" s="15"/>
      <c r="B9" s="56" t="s">
        <v>12</v>
      </c>
      <c r="C9" s="57" t="s">
        <v>13</v>
      </c>
      <c r="D9" s="57" t="s">
        <v>14</v>
      </c>
      <c r="E9" s="57" t="s">
        <v>15</v>
      </c>
      <c r="F9" s="57" t="s">
        <v>16</v>
      </c>
      <c r="G9" s="57" t="s">
        <v>17</v>
      </c>
      <c r="H9" s="58"/>
      <c r="I9" s="59" t="str">
        <f aca="false">LEFT(TEXT(I7,"ddd"),1)</f>
        <v>T</v>
      </c>
      <c r="J9" s="59" t="str">
        <f aca="false">LEFT(TEXT(J7,"ddd"),1)</f>
        <v>W</v>
      </c>
      <c r="K9" s="59" t="str">
        <f aca="false">LEFT(TEXT(K7,"ddd"),1)</f>
        <v>T</v>
      </c>
      <c r="L9" s="59" t="str">
        <f aca="false">LEFT(TEXT(L7,"ddd"),1)</f>
        <v>F</v>
      </c>
      <c r="M9" s="59" t="str">
        <f aca="false">LEFT(TEXT(M7,"ddd"),1)</f>
        <v>S</v>
      </c>
      <c r="N9" s="59" t="str">
        <f aca="false">LEFT(TEXT(N7,"ddd"),1)</f>
        <v>S</v>
      </c>
      <c r="O9" s="59" t="str">
        <f aca="false">LEFT(TEXT(O7,"ddd"),1)</f>
        <v>M</v>
      </c>
      <c r="P9" s="59" t="str">
        <f aca="false">LEFT(TEXT(P7,"ddd"),1)</f>
        <v>T</v>
      </c>
      <c r="Q9" s="59" t="str">
        <f aca="false">LEFT(TEXT(Q7,"ddd"),1)</f>
        <v>W</v>
      </c>
      <c r="R9" s="59" t="str">
        <f aca="false">LEFT(TEXT(R7,"ddd"),1)</f>
        <v>T</v>
      </c>
      <c r="S9" s="59" t="str">
        <f aca="false">LEFT(TEXT(S7,"ddd"),1)</f>
        <v>F</v>
      </c>
      <c r="T9" s="59" t="str">
        <f aca="false">LEFT(TEXT(T7,"ddd"),1)</f>
        <v>S</v>
      </c>
      <c r="U9" s="59" t="str">
        <f aca="false">LEFT(TEXT(U7,"ddd"),1)</f>
        <v>S</v>
      </c>
      <c r="V9" s="59" t="str">
        <f aca="false">LEFT(TEXT(V7,"ddd"),1)</f>
        <v>M</v>
      </c>
      <c r="W9" s="59" t="str">
        <f aca="false">LEFT(TEXT(W7,"ddd"),1)</f>
        <v>T</v>
      </c>
      <c r="X9" s="59" t="str">
        <f aca="false">LEFT(TEXT(X7,"ddd"),1)</f>
        <v>W</v>
      </c>
      <c r="Y9" s="59" t="str">
        <f aca="false">LEFT(TEXT(Y7,"ddd"),1)</f>
        <v>T</v>
      </c>
      <c r="Z9" s="59" t="str">
        <f aca="false">LEFT(TEXT(Z7,"ddd"),1)</f>
        <v>F</v>
      </c>
      <c r="AA9" s="59" t="str">
        <f aca="false">LEFT(TEXT(AA7,"ddd"),1)</f>
        <v>S</v>
      </c>
      <c r="AB9" s="59" t="str">
        <f aca="false">LEFT(TEXT(AB7,"ddd"),1)</f>
        <v>S</v>
      </c>
      <c r="AC9" s="59" t="str">
        <f aca="false">LEFT(TEXT(AC7,"ddd"),1)</f>
        <v>M</v>
      </c>
      <c r="AD9" s="59" t="str">
        <f aca="false">LEFT(TEXT(AD7,"ddd"),1)</f>
        <v>T</v>
      </c>
      <c r="AE9" s="59" t="str">
        <f aca="false">LEFT(TEXT(AE7,"ddd"),1)</f>
        <v>W</v>
      </c>
      <c r="AF9" s="59" t="str">
        <f aca="false">LEFT(TEXT(AF7,"ddd"),1)</f>
        <v>T</v>
      </c>
      <c r="AG9" s="59" t="str">
        <f aca="false">LEFT(TEXT(AG7,"ddd"),1)</f>
        <v>F</v>
      </c>
      <c r="AH9" s="59" t="str">
        <f aca="false">LEFT(TEXT(AH7,"ddd"),1)</f>
        <v>S</v>
      </c>
      <c r="AI9" s="59" t="str">
        <f aca="false">LEFT(TEXT(AI7,"ddd"),1)</f>
        <v>S</v>
      </c>
      <c r="AJ9" s="59" t="str">
        <f aca="false">LEFT(TEXT(AJ7,"ddd"),1)</f>
        <v>M</v>
      </c>
      <c r="AK9" s="59" t="str">
        <f aca="false">LEFT(TEXT(AK7,"ddd"),1)</f>
        <v>T</v>
      </c>
      <c r="AL9" s="59" t="str">
        <f aca="false">LEFT(TEXT(AL7,"ddd"),1)</f>
        <v>W</v>
      </c>
      <c r="AM9" s="59" t="str">
        <f aca="false">LEFT(TEXT(AM7,"ddd"),1)</f>
        <v>T</v>
      </c>
      <c r="AN9" s="59" t="str">
        <f aca="false">LEFT(TEXT(AN7,"ddd"),1)</f>
        <v>F</v>
      </c>
      <c r="AO9" s="59" t="str">
        <f aca="false">LEFT(TEXT(AO7,"ddd"),1)</f>
        <v>S</v>
      </c>
      <c r="AP9" s="59" t="str">
        <f aca="false">LEFT(TEXT(AP7,"ddd"),1)</f>
        <v>S</v>
      </c>
      <c r="AQ9" s="59" t="str">
        <f aca="false">LEFT(TEXT(AQ7,"ddd"),1)</f>
        <v>M</v>
      </c>
      <c r="AR9" s="59" t="str">
        <f aca="false">LEFT(TEXT(AR7,"ddd"),1)</f>
        <v>T</v>
      </c>
      <c r="AS9" s="59" t="str">
        <f aca="false">LEFT(TEXT(AS7,"ddd"),1)</f>
        <v>W</v>
      </c>
      <c r="AT9" s="59" t="str">
        <f aca="false">LEFT(TEXT(AT7,"ddd"),1)</f>
        <v>T</v>
      </c>
      <c r="AU9" s="59" t="str">
        <f aca="false">LEFT(TEXT(AU7,"ddd"),1)</f>
        <v>F</v>
      </c>
      <c r="AV9" s="59" t="str">
        <f aca="false">LEFT(TEXT(AV7,"ddd"),1)</f>
        <v>S</v>
      </c>
      <c r="AW9" s="59" t="str">
        <f aca="false">LEFT(TEXT(AW7,"ddd"),1)</f>
        <v>S</v>
      </c>
      <c r="AX9" s="59" t="str">
        <f aca="false">LEFT(TEXT(AX7,"ddd"),1)</f>
        <v>M</v>
      </c>
      <c r="AY9" s="59" t="str">
        <f aca="false">LEFT(TEXT(AY7,"ddd"),1)</f>
        <v>T</v>
      </c>
      <c r="AZ9" s="59" t="str">
        <f aca="false">LEFT(TEXT(AZ7,"ddd"),1)</f>
        <v>W</v>
      </c>
      <c r="BA9" s="59" t="str">
        <f aca="false">LEFT(TEXT(BA7,"ddd"),1)</f>
        <v>T</v>
      </c>
      <c r="BB9" s="59" t="str">
        <f aca="false">LEFT(TEXT(BB7,"ddd"),1)</f>
        <v>F</v>
      </c>
      <c r="BC9" s="59" t="str">
        <f aca="false">LEFT(TEXT(BC7,"ddd"),1)</f>
        <v>S</v>
      </c>
      <c r="BD9" s="59" t="str">
        <f aca="false">LEFT(TEXT(BD7,"ddd"),1)</f>
        <v>S</v>
      </c>
      <c r="BE9" s="59" t="str">
        <f aca="false">LEFT(TEXT(BE7,"ddd"),1)</f>
        <v>M</v>
      </c>
      <c r="BF9" s="59" t="str">
        <f aca="false">LEFT(TEXT(BF7,"ddd"),1)</f>
        <v>T</v>
      </c>
      <c r="BG9" s="59" t="str">
        <f aca="false">LEFT(TEXT(BG7,"ddd"),1)</f>
        <v>W</v>
      </c>
      <c r="BH9" s="59" t="str">
        <f aca="false">LEFT(TEXT(BH7,"ddd"),1)</f>
        <v>T</v>
      </c>
      <c r="BI9" s="59" t="str">
        <f aca="false">LEFT(TEXT(BI7,"ddd"),1)</f>
        <v>F</v>
      </c>
      <c r="BJ9" s="59" t="str">
        <f aca="false">LEFT(TEXT(BJ7,"ddd"),1)</f>
        <v>S</v>
      </c>
      <c r="BK9" s="59" t="str">
        <f aca="false">LEFT(TEXT(BK7,"ddd"),1)</f>
        <v>S</v>
      </c>
      <c r="BL9" s="59" t="str">
        <f aca="false">LEFT(TEXT(BL7,"ddd"),1)</f>
        <v>M</v>
      </c>
    </row>
    <row r="10" customFormat="false" ht="30" hidden="true" customHeight="true" outlineLevel="0" collapsed="false">
      <c r="B10" s="60"/>
      <c r="C10" s="61"/>
      <c r="D10" s="62"/>
      <c r="E10" s="61"/>
      <c r="F10" s="63"/>
      <c r="G10" s="64"/>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row>
    <row r="11" s="25" customFormat="true" ht="39.75" hidden="false" customHeight="true" outlineLevel="0" collapsed="false">
      <c r="A11" s="15"/>
      <c r="B11" s="66" t="s">
        <v>18</v>
      </c>
      <c r="C11" s="67"/>
      <c r="D11" s="67"/>
      <c r="E11" s="68"/>
      <c r="F11" s="69"/>
      <c r="G11" s="70"/>
      <c r="H11" s="67"/>
      <c r="I11" s="71" t="str">
        <f aca="false">IF(AND($C11="Goal",I$7&gt;=$F11,I$7&lt;=$F11+$G11-1),2,IF(AND($C11="Milestone",I$7&gt;=$F11,I$7&lt;=$F11+$G11-1),1,""))</f>
        <v/>
      </c>
      <c r="J11" s="71" t="str">
        <f aca="false">IF(AND($C11="Goal",J$7&gt;=$F11,J$7&lt;=$F11+$G11-1),2,IF(AND($C11="Milestone",J$7&gt;=$F11,J$7&lt;=$F11+$G11-1),1,""))</f>
        <v/>
      </c>
      <c r="K11" s="71" t="str">
        <f aca="false">IF(AND($C11="Goal",K$7&gt;=$F11,K$7&lt;=$F11+$G11-1),2,IF(AND($C11="Milestone",K$7&gt;=$F11,K$7&lt;=$F11+$G11-1),1,""))</f>
        <v/>
      </c>
      <c r="L11" s="71" t="str">
        <f aca="false">IF(AND($C11="Goal",L$7&gt;=$F11,L$7&lt;=$F11+$G11-1),2,IF(AND($C11="Milestone",L$7&gt;=$F11,L$7&lt;=$F11+$G11-1),1,""))</f>
        <v/>
      </c>
      <c r="M11" s="71" t="str">
        <f aca="false">IF(AND($C11="Goal",M$7&gt;=$F11,M$7&lt;=$F11+$G11-1),2,IF(AND($C11="Milestone",M$7&gt;=$F11,M$7&lt;=$F11+$G11-1),1,""))</f>
        <v/>
      </c>
      <c r="N11" s="71" t="str">
        <f aca="false">IF(AND($C11="Goal",N$7&gt;=$F11,N$7&lt;=$F11+$G11-1),2,IF(AND($C11="Milestone",N$7&gt;=$F11,N$7&lt;=$F11+$G11-1),1,""))</f>
        <v/>
      </c>
      <c r="O11" s="71" t="str">
        <f aca="false">IF(AND($C11="Goal",O$7&gt;=$F11,O$7&lt;=$F11+$G11-1),2,IF(AND($C11="Milestone",O$7&gt;=$F11,O$7&lt;=$F11+$G11-1),1,""))</f>
        <v/>
      </c>
      <c r="P11" s="71" t="str">
        <f aca="false">IF(AND($C11="Goal",P$7&gt;=$F11,P$7&lt;=$F11+$G11-1),2,IF(AND($C11="Milestone",P$7&gt;=$F11,P$7&lt;=$F11+$G11-1),1,""))</f>
        <v/>
      </c>
      <c r="Q11" s="71" t="str">
        <f aca="false">IF(AND($C11="Goal",Q$7&gt;=$F11,Q$7&lt;=$F11+$G11-1),2,IF(AND($C11="Milestone",Q$7&gt;=$F11,Q$7&lt;=$F11+$G11-1),1,""))</f>
        <v/>
      </c>
      <c r="R11" s="71" t="str">
        <f aca="false">IF(AND($C11="Goal",R$7&gt;=$F11,R$7&lt;=$F11+$G11-1),2,IF(AND($C11="Milestone",R$7&gt;=$F11,R$7&lt;=$F11+$G11-1),1,""))</f>
        <v/>
      </c>
      <c r="S11" s="71" t="str">
        <f aca="false">IF(AND($C11="Goal",S$7&gt;=$F11,S$7&lt;=$F11+$G11-1),2,IF(AND($C11="Milestone",S$7&gt;=$F11,S$7&lt;=$F11+$G11-1),1,""))</f>
        <v/>
      </c>
      <c r="T11" s="71" t="str">
        <f aca="false">IF(AND($C11="Goal",T$7&gt;=$F11,T$7&lt;=$F11+$G11-1),2,IF(AND($C11="Milestone",T$7&gt;=$F11,T$7&lt;=$F11+$G11-1),1,""))</f>
        <v/>
      </c>
      <c r="U11" s="71" t="str">
        <f aca="false">IF(AND($C11="Goal",U$7&gt;=$F11,U$7&lt;=$F11+$G11-1),2,IF(AND($C11="Milestone",U$7&gt;=$F11,U$7&lt;=$F11+$G11-1),1,""))</f>
        <v/>
      </c>
      <c r="V11" s="71" t="str">
        <f aca="false">IF(AND($C11="Goal",V$7&gt;=$F11,V$7&lt;=$F11+$G11-1),2,IF(AND($C11="Milestone",V$7&gt;=$F11,V$7&lt;=$F11+$G11-1),1,""))</f>
        <v/>
      </c>
      <c r="W11" s="71" t="str">
        <f aca="false">IF(AND($C11="Goal",W$7&gt;=$F11,W$7&lt;=$F11+$G11-1),2,IF(AND($C11="Milestone",W$7&gt;=$F11,W$7&lt;=$F11+$G11-1),1,""))</f>
        <v/>
      </c>
      <c r="X11" s="71" t="str">
        <f aca="false">IF(AND($C11="Goal",X$7&gt;=$F11,X$7&lt;=$F11+$G11-1),2,IF(AND($C11="Milestone",X$7&gt;=$F11,X$7&lt;=$F11+$G11-1),1,""))</f>
        <v/>
      </c>
      <c r="Y11" s="71" t="str">
        <f aca="false">IF(AND($C11="Goal",Y$7&gt;=$F11,Y$7&lt;=$F11+$G11-1),2,IF(AND($C11="Milestone",Y$7&gt;=$F11,Y$7&lt;=$F11+$G11-1),1,""))</f>
        <v/>
      </c>
      <c r="Z11" s="71" t="str">
        <f aca="false">IF(AND($C11="Goal",Z$7&gt;=$F11,Z$7&lt;=$F11+$G11-1),2,IF(AND($C11="Milestone",Z$7&gt;=$F11,Z$7&lt;=$F11+$G11-1),1,""))</f>
        <v/>
      </c>
      <c r="AA11" s="71" t="str">
        <f aca="false">IF(AND($C11="Goal",AA$7&gt;=$F11,AA$7&lt;=$F11+$G11-1),2,IF(AND($C11="Milestone",AA$7&gt;=$F11,AA$7&lt;=$F11+$G11-1),1,""))</f>
        <v/>
      </c>
      <c r="AB11" s="71" t="str">
        <f aca="false">IF(AND($C11="Goal",AB$7&gt;=$F11,AB$7&lt;=$F11+$G11-1),2,IF(AND($C11="Milestone",AB$7&gt;=$F11,AB$7&lt;=$F11+$G11-1),1,""))</f>
        <v/>
      </c>
      <c r="AC11" s="71" t="str">
        <f aca="false">IF(AND($C11="Goal",AC$7&gt;=$F11,AC$7&lt;=$F11+$G11-1),2,IF(AND($C11="Milestone",AC$7&gt;=$F11,AC$7&lt;=$F11+$G11-1),1,""))</f>
        <v/>
      </c>
      <c r="AD11" s="71" t="str">
        <f aca="false">IF(AND($C11="Goal",AD$7&gt;=$F11,AD$7&lt;=$F11+$G11-1),2,IF(AND($C11="Milestone",AD$7&gt;=$F11,AD$7&lt;=$F11+$G11-1),1,""))</f>
        <v/>
      </c>
      <c r="AE11" s="71" t="str">
        <f aca="false">IF(AND($C11="Goal",AE$7&gt;=$F11,AE$7&lt;=$F11+$G11-1),2,IF(AND($C11="Milestone",AE$7&gt;=$F11,AE$7&lt;=$F11+$G11-1),1,""))</f>
        <v/>
      </c>
      <c r="AF11" s="71" t="str">
        <f aca="false">IF(AND($C11="Goal",AF$7&gt;=$F11,AF$7&lt;=$F11+$G11-1),2,IF(AND($C11="Milestone",AF$7&gt;=$F11,AF$7&lt;=$F11+$G11-1),1,""))</f>
        <v/>
      </c>
      <c r="AG11" s="71" t="str">
        <f aca="false">IF(AND($C11="Goal",AG$7&gt;=$F11,AG$7&lt;=$F11+$G11-1),2,IF(AND($C11="Milestone",AG$7&gt;=$F11,AG$7&lt;=$F11+$G11-1),1,""))</f>
        <v/>
      </c>
      <c r="AH11" s="71" t="str">
        <f aca="false">IF(AND($C11="Goal",AH$7&gt;=$F11,AH$7&lt;=$F11+$G11-1),2,IF(AND($C11="Milestone",AH$7&gt;=$F11,AH$7&lt;=$F11+$G11-1),1,""))</f>
        <v/>
      </c>
      <c r="AI11" s="71" t="str">
        <f aca="false">IF(AND($C11="Goal",AI$7&gt;=$F11,AI$7&lt;=$F11+$G11-1),2,IF(AND($C11="Milestone",AI$7&gt;=$F11,AI$7&lt;=$F11+$G11-1),1,""))</f>
        <v/>
      </c>
      <c r="AJ11" s="71" t="str">
        <f aca="false">IF(AND($C11="Goal",AJ$7&gt;=$F11,AJ$7&lt;=$F11+$G11-1),2,IF(AND($C11="Milestone",AJ$7&gt;=$F11,AJ$7&lt;=$F11+$G11-1),1,""))</f>
        <v/>
      </c>
      <c r="AK11" s="71" t="str">
        <f aca="false">IF(AND($C11="Goal",AK$7&gt;=$F11,AK$7&lt;=$F11+$G11-1),2,IF(AND($C11="Milestone",AK$7&gt;=$F11,AK$7&lt;=$F11+$G11-1),1,""))</f>
        <v/>
      </c>
      <c r="AL11" s="71" t="str">
        <f aca="false">IF(AND($C11="Goal",AL$7&gt;=$F11,AL$7&lt;=$F11+$G11-1),2,IF(AND($C11="Milestone",AL$7&gt;=$F11,AL$7&lt;=$F11+$G11-1),1,""))</f>
        <v/>
      </c>
      <c r="AM11" s="71" t="str">
        <f aca="false">IF(AND($C11="Goal",AM$7&gt;=$F11,AM$7&lt;=$F11+$G11-1),2,IF(AND($C11="Milestone",AM$7&gt;=$F11,AM$7&lt;=$F11+$G11-1),1,""))</f>
        <v/>
      </c>
      <c r="AN11" s="71" t="str">
        <f aca="false">IF(AND($C11="Goal",AN$7&gt;=$F11,AN$7&lt;=$F11+$G11-1),2,IF(AND($C11="Milestone",AN$7&gt;=$F11,AN$7&lt;=$F11+$G11-1),1,""))</f>
        <v/>
      </c>
      <c r="AO11" s="71" t="str">
        <f aca="false">IF(AND($C11="Goal",AO$7&gt;=$F11,AO$7&lt;=$F11+$G11-1),2,IF(AND($C11="Milestone",AO$7&gt;=$F11,AO$7&lt;=$F11+$G11-1),1,""))</f>
        <v/>
      </c>
      <c r="AP11" s="71" t="str">
        <f aca="false">IF(AND($C11="Goal",AP$7&gt;=$F11,AP$7&lt;=$F11+$G11-1),2,IF(AND($C11="Milestone",AP$7&gt;=$F11,AP$7&lt;=$F11+$G11-1),1,""))</f>
        <v/>
      </c>
      <c r="AQ11" s="71" t="str">
        <f aca="false">IF(AND($C11="Goal",AQ$7&gt;=$F11,AQ$7&lt;=$F11+$G11-1),2,IF(AND($C11="Milestone",AQ$7&gt;=$F11,AQ$7&lt;=$F11+$G11-1),1,""))</f>
        <v/>
      </c>
      <c r="AR11" s="71" t="str">
        <f aca="false">IF(AND($C11="Goal",AR$7&gt;=$F11,AR$7&lt;=$F11+$G11-1),2,IF(AND($C11="Milestone",AR$7&gt;=$F11,AR$7&lt;=$F11+$G11-1),1,""))</f>
        <v/>
      </c>
      <c r="AS11" s="71" t="str">
        <f aca="false">IF(AND($C11="Goal",AS$7&gt;=$F11,AS$7&lt;=$F11+$G11-1),2,IF(AND($C11="Milestone",AS$7&gt;=$F11,AS$7&lt;=$F11+$G11-1),1,""))</f>
        <v/>
      </c>
      <c r="AT11" s="71" t="str">
        <f aca="false">IF(AND($C11="Goal",AT$7&gt;=$F11,AT$7&lt;=$F11+$G11-1),2,IF(AND($C11="Milestone",AT$7&gt;=$F11,AT$7&lt;=$F11+$G11-1),1,""))</f>
        <v/>
      </c>
      <c r="AU11" s="71" t="str">
        <f aca="false">IF(AND($C11="Goal",AU$7&gt;=$F11,AU$7&lt;=$F11+$G11-1),2,IF(AND($C11="Milestone",AU$7&gt;=$F11,AU$7&lt;=$F11+$G11-1),1,""))</f>
        <v/>
      </c>
      <c r="AV11" s="71" t="str">
        <f aca="false">IF(AND($C11="Goal",AV$7&gt;=$F11,AV$7&lt;=$F11+$G11-1),2,IF(AND($C11="Milestone",AV$7&gt;=$F11,AV$7&lt;=$F11+$G11-1),1,""))</f>
        <v/>
      </c>
      <c r="AW11" s="71" t="str">
        <f aca="false">IF(AND($C11="Goal",AW$7&gt;=$F11,AW$7&lt;=$F11+$G11-1),2,IF(AND($C11="Milestone",AW$7&gt;=$F11,AW$7&lt;=$F11+$G11-1),1,""))</f>
        <v/>
      </c>
      <c r="AX11" s="71" t="str">
        <f aca="false">IF(AND($C11="Goal",AX$7&gt;=$F11,AX$7&lt;=$F11+$G11-1),2,IF(AND($C11="Milestone",AX$7&gt;=$F11,AX$7&lt;=$F11+$G11-1),1,""))</f>
        <v/>
      </c>
      <c r="AY11" s="71" t="str">
        <f aca="false">IF(AND($C11="Goal",AY$7&gt;=$F11,AY$7&lt;=$F11+$G11-1),2,IF(AND($C11="Milestone",AY$7&gt;=$F11,AY$7&lt;=$F11+$G11-1),1,""))</f>
        <v/>
      </c>
      <c r="AZ11" s="71" t="str">
        <f aca="false">IF(AND($C11="Goal",AZ$7&gt;=$F11,AZ$7&lt;=$F11+$G11-1),2,IF(AND($C11="Milestone",AZ$7&gt;=$F11,AZ$7&lt;=$F11+$G11-1),1,""))</f>
        <v/>
      </c>
      <c r="BA11" s="71" t="str">
        <f aca="false">IF(AND($C11="Goal",BA$7&gt;=$F11,BA$7&lt;=$F11+$G11-1),2,IF(AND($C11="Milestone",BA$7&gt;=$F11,BA$7&lt;=$F11+$G11-1),1,""))</f>
        <v/>
      </c>
      <c r="BB11" s="71" t="str">
        <f aca="false">IF(AND($C11="Goal",BB$7&gt;=$F11,BB$7&lt;=$F11+$G11-1),2,IF(AND($C11="Milestone",BB$7&gt;=$F11,BB$7&lt;=$F11+$G11-1),1,""))</f>
        <v/>
      </c>
      <c r="BC11" s="71" t="str">
        <f aca="false">IF(AND($C11="Goal",BC$7&gt;=$F11,BC$7&lt;=$F11+$G11-1),2,IF(AND($C11="Milestone",BC$7&gt;=$F11,BC$7&lt;=$F11+$G11-1),1,""))</f>
        <v/>
      </c>
      <c r="BD11" s="71" t="str">
        <f aca="false">IF(AND($C11="Goal",BD$7&gt;=$F11,BD$7&lt;=$F11+$G11-1),2,IF(AND($C11="Milestone",BD$7&gt;=$F11,BD$7&lt;=$F11+$G11-1),1,""))</f>
        <v/>
      </c>
      <c r="BE11" s="71" t="str">
        <f aca="false">IF(AND($C11="Goal",BE$7&gt;=$F11,BE$7&lt;=$F11+$G11-1),2,IF(AND($C11="Milestone",BE$7&gt;=$F11,BE$7&lt;=$F11+$G11-1),1,""))</f>
        <v/>
      </c>
      <c r="BF11" s="71" t="str">
        <f aca="false">IF(AND($C11="Goal",BF$7&gt;=$F11,BF$7&lt;=$F11+$G11-1),2,IF(AND($C11="Milestone",BF$7&gt;=$F11,BF$7&lt;=$F11+$G11-1),1,""))</f>
        <v/>
      </c>
      <c r="BG11" s="71" t="str">
        <f aca="false">IF(AND($C11="Goal",BG$7&gt;=$F11,BG$7&lt;=$F11+$G11-1),2,IF(AND($C11="Milestone",BG$7&gt;=$F11,BG$7&lt;=$F11+$G11-1),1,""))</f>
        <v/>
      </c>
      <c r="BH11" s="71" t="str">
        <f aca="false">IF(AND($C11="Goal",BH$7&gt;=$F11,BH$7&lt;=$F11+$G11-1),2,IF(AND($C11="Milestone",BH$7&gt;=$F11,BH$7&lt;=$F11+$G11-1),1,""))</f>
        <v/>
      </c>
      <c r="BI11" s="71" t="str">
        <f aca="false">IF(AND($C11="Goal",BI$7&gt;=$F11,BI$7&lt;=$F11+$G11-1),2,IF(AND($C11="Milestone",BI$7&gt;=$F11,BI$7&lt;=$F11+$G11-1),1,""))</f>
        <v/>
      </c>
      <c r="BJ11" s="71" t="str">
        <f aca="false">IF(AND($C11="Goal",BJ$7&gt;=$F11,BJ$7&lt;=$F11+$G11-1),2,IF(AND($C11="Milestone",BJ$7&gt;=$F11,BJ$7&lt;=$F11+$G11-1),1,""))</f>
        <v/>
      </c>
      <c r="BK11" s="71" t="str">
        <f aca="false">IF(AND($C11="Goal",BK$7&gt;=$F11,BK$7&lt;=$F11+$G11-1),2,IF(AND($C11="Milestone",BK$7&gt;=$F11,BK$7&lt;=$F11+$G11-1),1,""))</f>
        <v/>
      </c>
      <c r="BL11" s="71" t="str">
        <f aca="false">IF(AND($C11="Goal",BL$7&gt;=$F11,BL$7&lt;=$F11+$G11-1),2,IF(AND($C11="Milestone",BL$7&gt;=$F11,BL$7&lt;=$F11+$G11-1),1,""))</f>
        <v/>
      </c>
      <c r="BP11" s="72"/>
    </row>
    <row r="12" s="25" customFormat="true" ht="39" hidden="false" customHeight="true" outlineLevel="0" collapsed="false">
      <c r="A12" s="15"/>
      <c r="B12" s="73" t="s">
        <v>19</v>
      </c>
      <c r="C12" s="67" t="s">
        <v>20</v>
      </c>
      <c r="D12" s="67" t="s">
        <v>21</v>
      </c>
      <c r="E12" s="68" t="n">
        <v>1</v>
      </c>
      <c r="F12" s="69" t="n">
        <v>45902</v>
      </c>
      <c r="G12" s="70" t="n">
        <v>2</v>
      </c>
      <c r="H12" s="67"/>
      <c r="I12" s="71" t="str">
        <f aca="false">IF(AND($C12="Goal",I$7&gt;=$F12,I$7&lt;=$F12+$G12-1),2,IF(AND($C12="Milestone",I$7&gt;=$F12,I$7&lt;=$F12+$G12-1),1,""))</f>
        <v/>
      </c>
      <c r="J12" s="71" t="str">
        <f aca="false">IF(AND($C12="Goal",J$7&gt;=$F12,J$7&lt;=$F12+$G12-1),2,IF(AND($C12="Milestone",J$7&gt;=$F12,J$7&lt;=$F12+$G12-1),1,""))</f>
        <v/>
      </c>
      <c r="K12" s="74"/>
      <c r="L12" s="71" t="str">
        <f aca="false">IF(AND($C12="Goal",L$7&gt;=$F12,L$7&lt;=$F12+$G12-1),2,IF(AND($C12="Milestone",L$7&gt;=$F12,L$7&lt;=$F12+$G12-1),1,""))</f>
        <v/>
      </c>
      <c r="M12" s="71" t="str">
        <f aca="false">IF(AND($C12="Goal",M$7&gt;=$F12,M$7&lt;=$F12+$G12-1),2,IF(AND($C12="Milestone",M$7&gt;=$F12,M$7&lt;=$F12+$G12-1),1,""))</f>
        <v/>
      </c>
      <c r="N12" s="71" t="str">
        <f aca="false">IF(AND($C12="Goal",N$7&gt;=$F12,N$7&lt;=$F12+$G12-1),2,IF(AND($C12="Milestone",N$7&gt;=$F12,N$7&lt;=$F12+$G12-1),1,""))</f>
        <v/>
      </c>
      <c r="O12" s="71" t="str">
        <f aca="false">IF(AND($C12="Goal",O$7&gt;=$F12,O$7&lt;=$F12+$G12-1),2,IF(AND($C12="Milestone",O$7&gt;=$F12,O$7&lt;=$F12+$G12-1),1,""))</f>
        <v/>
      </c>
      <c r="P12" s="71" t="str">
        <f aca="false">IF(AND($C12="Goal",P$7&gt;=$F12,P$7&lt;=$F12+$G12-1),2,IF(AND($C12="Milestone",P$7&gt;=$F12,P$7&lt;=$F12+$G12-1),1,""))</f>
        <v/>
      </c>
      <c r="Q12" s="71" t="str">
        <f aca="false">IF(AND($C12="Goal",Q$7&gt;=$F12,Q$7&lt;=$F12+$G12-1),2,IF(AND($C12="Milestone",Q$7&gt;=$F12,Q$7&lt;=$F12+$G12-1),1,""))</f>
        <v/>
      </c>
      <c r="R12" s="71" t="str">
        <f aca="false">IF(AND($C12="Goal",R$7&gt;=$F12,R$7&lt;=$F12+$G12-1),2,IF(AND($C12="Milestone",R$7&gt;=$F12,R$7&lt;=$F12+$G12-1),1,""))</f>
        <v/>
      </c>
      <c r="S12" s="71" t="str">
        <f aca="false">IF(AND($C12="Goal",S$7&gt;=$F12,S$7&lt;=$F12+$G12-1),2,IF(AND($C12="Milestone",S$7&gt;=$F12,S$7&lt;=$F12+$G12-1),1,""))</f>
        <v/>
      </c>
      <c r="T12" s="71" t="str">
        <f aca="false">IF(AND($C12="Goal",T$7&gt;=$F12,T$7&lt;=$F12+$G12-1),2,IF(AND($C12="Milestone",T$7&gt;=$F12,T$7&lt;=$F12+$G12-1),1,""))</f>
        <v/>
      </c>
      <c r="U12" s="71" t="str">
        <f aca="false">IF(AND($C12="Goal",U$7&gt;=$F12,U$7&lt;=$F12+$G12-1),2,IF(AND($C12="Milestone",U$7&gt;=$F12,U$7&lt;=$F12+$G12-1),1,""))</f>
        <v/>
      </c>
      <c r="V12" s="71" t="str">
        <f aca="false">IF(AND($C12="Goal",V$7&gt;=$F12,V$7&lt;=$F12+$G12-1),2,IF(AND($C12="Milestone",V$7&gt;=$F12,V$7&lt;=$F12+$G12-1),1,""))</f>
        <v/>
      </c>
      <c r="W12" s="71" t="str">
        <f aca="false">IF(AND($C12="Goal",W$7&gt;=$F12,W$7&lt;=$F12+$G12-1),2,IF(AND($C12="Milestone",W$7&gt;=$F12,W$7&lt;=$F12+$G12-1),1,""))</f>
        <v/>
      </c>
      <c r="X12" s="71" t="str">
        <f aca="false">IF(AND($C12="Goal",X$7&gt;=$F12,X$7&lt;=$F12+$G12-1),2,IF(AND($C12="Milestone",X$7&gt;=$F12,X$7&lt;=$F12+$G12-1),1,""))</f>
        <v/>
      </c>
      <c r="Y12" s="71" t="str">
        <f aca="false">IF(AND($C12="Goal",Y$7&gt;=$F12,Y$7&lt;=$F12+$G12-1),2,IF(AND($C12="Milestone",Y$7&gt;=$F12,Y$7&lt;=$F12+$G12-1),1,""))</f>
        <v/>
      </c>
      <c r="Z12" s="71" t="str">
        <f aca="false">IF(AND($C12="Goal",Z$7&gt;=$F12,Z$7&lt;=$F12+$G12-1),2,IF(AND($C12="Milestone",Z$7&gt;=$F12,Z$7&lt;=$F12+$G12-1),1,""))</f>
        <v/>
      </c>
      <c r="AA12" s="71" t="str">
        <f aca="false">IF(AND($C12="Goal",AA$7&gt;=$F12,AA$7&lt;=$F12+$G12-1),2,IF(AND($C12="Milestone",AA$7&gt;=$F12,AA$7&lt;=$F12+$G12-1),1,""))</f>
        <v/>
      </c>
      <c r="AB12" s="71" t="str">
        <f aca="false">IF(AND($C12="Goal",AB$7&gt;=$F12,AB$7&lt;=$F12+$G12-1),2,IF(AND($C12="Milestone",AB$7&gt;=$F12,AB$7&lt;=$F12+$G12-1),1,""))</f>
        <v/>
      </c>
      <c r="AC12" s="71" t="str">
        <f aca="false">IF(AND($C12="Goal",AC$7&gt;=$F12,AC$7&lt;=$F12+$G12-1),2,IF(AND($C12="Milestone",AC$7&gt;=$F12,AC$7&lt;=$F12+$G12-1),1,""))</f>
        <v/>
      </c>
      <c r="AD12" s="71" t="str">
        <f aca="false">IF(AND($C12="Goal",AD$7&gt;=$F12,AD$7&lt;=$F12+$G12-1),2,IF(AND($C12="Milestone",AD$7&gt;=$F12,AD$7&lt;=$F12+$G12-1),1,""))</f>
        <v/>
      </c>
      <c r="AE12" s="71" t="str">
        <f aca="false">IF(AND($C12="Goal",AE$7&gt;=$F12,AE$7&lt;=$F12+$G12-1),2,IF(AND($C12="Milestone",AE$7&gt;=$F12,AE$7&lt;=$F12+$G12-1),1,""))</f>
        <v/>
      </c>
      <c r="AF12" s="71" t="str">
        <f aca="false">IF(AND($C12="Goal",AF$7&gt;=$F12,AF$7&lt;=$F12+$G12-1),2,IF(AND($C12="Milestone",AF$7&gt;=$F12,AF$7&lt;=$F12+$G12-1),1,""))</f>
        <v/>
      </c>
      <c r="AG12" s="71" t="str">
        <f aca="false">IF(AND($C12="Goal",AG$7&gt;=$F12,AG$7&lt;=$F12+$G12-1),2,IF(AND($C12="Milestone",AG$7&gt;=$F12,AG$7&lt;=$F12+$G12-1),1,""))</f>
        <v/>
      </c>
      <c r="AH12" s="71" t="str">
        <f aca="false">IF(AND($C12="Goal",AH$7&gt;=$F12,AH$7&lt;=$F12+$G12-1),2,IF(AND($C12="Milestone",AH$7&gt;=$F12,AH$7&lt;=$F12+$G12-1),1,""))</f>
        <v/>
      </c>
      <c r="AI12" s="71" t="str">
        <f aca="false">IF(AND($C12="Goal",AI$7&gt;=$F12,AI$7&lt;=$F12+$G12-1),2,IF(AND($C12="Milestone",AI$7&gt;=$F12,AI$7&lt;=$F12+$G12-1),1,""))</f>
        <v/>
      </c>
      <c r="AJ12" s="71" t="str">
        <f aca="false">IF(AND($C12="Goal",AJ$7&gt;=$F12,AJ$7&lt;=$F12+$G12-1),2,IF(AND($C12="Milestone",AJ$7&gt;=$F12,AJ$7&lt;=$F12+$G12-1),1,""))</f>
        <v/>
      </c>
      <c r="AK12" s="71" t="str">
        <f aca="false">IF(AND($C12="Goal",AK$7&gt;=$F12,AK$7&lt;=$F12+$G12-1),2,IF(AND($C12="Milestone",AK$7&gt;=$F12,AK$7&lt;=$F12+$G12-1),1,""))</f>
        <v/>
      </c>
      <c r="AL12" s="71" t="str">
        <f aca="false">IF(AND($C12="Goal",AL$7&gt;=$F12,AL$7&lt;=$F12+$G12-1),2,IF(AND($C12="Milestone",AL$7&gt;=$F12,AL$7&lt;=$F12+$G12-1),1,""))</f>
        <v/>
      </c>
      <c r="AM12" s="71" t="str">
        <f aca="false">IF(AND($C12="Goal",AM$7&gt;=$F12,AM$7&lt;=$F12+$G12-1),2,IF(AND($C12="Milestone",AM$7&gt;=$F12,AM$7&lt;=$F12+$G12-1),1,""))</f>
        <v/>
      </c>
      <c r="AN12" s="71" t="str">
        <f aca="false">IF(AND($C12="Goal",AN$7&gt;=$F12,AN$7&lt;=$F12+$G12-1),2,IF(AND($C12="Milestone",AN$7&gt;=$F12,AN$7&lt;=$F12+$G12-1),1,""))</f>
        <v/>
      </c>
      <c r="AO12" s="71" t="str">
        <f aca="false">IF(AND($C12="Goal",AO$7&gt;=$F12,AO$7&lt;=$F12+$G12-1),2,IF(AND($C12="Milestone",AO$7&gt;=$F12,AO$7&lt;=$F12+$G12-1),1,""))</f>
        <v/>
      </c>
      <c r="AP12" s="71" t="str">
        <f aca="false">IF(AND($C12="Goal",AP$7&gt;=$F12,AP$7&lt;=$F12+$G12-1),2,IF(AND($C12="Milestone",AP$7&gt;=$F12,AP$7&lt;=$F12+$G12-1),1,""))</f>
        <v/>
      </c>
      <c r="AQ12" s="71" t="str">
        <f aca="false">IF(AND($C12="Goal",AQ$7&gt;=$F12,AQ$7&lt;=$F12+$G12-1),2,IF(AND($C12="Milestone",AQ$7&gt;=$F12,AQ$7&lt;=$F12+$G12-1),1,""))</f>
        <v/>
      </c>
      <c r="AR12" s="71" t="str">
        <f aca="false">IF(AND($C12="Goal",AR$7&gt;=$F12,AR$7&lt;=$F12+$G12-1),2,IF(AND($C12="Milestone",AR$7&gt;=$F12,AR$7&lt;=$F12+$G12-1),1,""))</f>
        <v/>
      </c>
      <c r="AS12" s="71" t="str">
        <f aca="false">IF(AND($C12="Goal",AS$7&gt;=$F12,AS$7&lt;=$F12+$G12-1),2,IF(AND($C12="Milestone",AS$7&gt;=$F12,AS$7&lt;=$F12+$G12-1),1,""))</f>
        <v/>
      </c>
      <c r="AT12" s="71" t="str">
        <f aca="false">IF(AND($C12="Goal",AT$7&gt;=$F12,AT$7&lt;=$F12+$G12-1),2,IF(AND($C12="Milestone",AT$7&gt;=$F12,AT$7&lt;=$F12+$G12-1),1,""))</f>
        <v/>
      </c>
      <c r="AU12" s="71" t="str">
        <f aca="false">IF(AND($C12="Goal",AU$7&gt;=$F12,AU$7&lt;=$F12+$G12-1),2,IF(AND($C12="Milestone",AU$7&gt;=$F12,AU$7&lt;=$F12+$G12-1),1,""))</f>
        <v/>
      </c>
      <c r="AV12" s="71" t="str">
        <f aca="false">IF(AND($C12="Goal",AV$7&gt;=$F12,AV$7&lt;=$F12+$G12-1),2,IF(AND($C12="Milestone",AV$7&gt;=$F12,AV$7&lt;=$F12+$G12-1),1,""))</f>
        <v/>
      </c>
      <c r="AW12" s="71" t="str">
        <f aca="false">IF(AND($C12="Goal",AW$7&gt;=$F12,AW$7&lt;=$F12+$G12-1),2,IF(AND($C12="Milestone",AW$7&gt;=$F12,AW$7&lt;=$F12+$G12-1),1,""))</f>
        <v/>
      </c>
      <c r="AX12" s="71" t="str">
        <f aca="false">IF(AND($C12="Goal",AX$7&gt;=$F12,AX$7&lt;=$F12+$G12-1),2,IF(AND($C12="Milestone",AX$7&gt;=$F12,AX$7&lt;=$F12+$G12-1),1,""))</f>
        <v/>
      </c>
      <c r="AY12" s="71" t="str">
        <f aca="false">IF(AND($C12="Goal",AY$7&gt;=$F12,AY$7&lt;=$F12+$G12-1),2,IF(AND($C12="Milestone",AY$7&gt;=$F12,AY$7&lt;=$F12+$G12-1),1,""))</f>
        <v/>
      </c>
      <c r="AZ12" s="71" t="str">
        <f aca="false">IF(AND($C12="Goal",AZ$7&gt;=$F12,AZ$7&lt;=$F12+$G12-1),2,IF(AND($C12="Milestone",AZ$7&gt;=$F12,AZ$7&lt;=$F12+$G12-1),1,""))</f>
        <v/>
      </c>
      <c r="BA12" s="71" t="str">
        <f aca="false">IF(AND($C12="Goal",BA$7&gt;=$F12,BA$7&lt;=$F12+$G12-1),2,IF(AND($C12="Milestone",BA$7&gt;=$F12,BA$7&lt;=$F12+$G12-1),1,""))</f>
        <v/>
      </c>
      <c r="BB12" s="71" t="str">
        <f aca="false">IF(AND($C12="Goal",BB$7&gt;=$F12,BB$7&lt;=$F12+$G12-1),2,IF(AND($C12="Milestone",BB$7&gt;=$F12,BB$7&lt;=$F12+$G12-1),1,""))</f>
        <v/>
      </c>
      <c r="BC12" s="71" t="str">
        <f aca="false">IF(AND($C12="Goal",BC$7&gt;=$F12,BC$7&lt;=$F12+$G12-1),2,IF(AND($C12="Milestone",BC$7&gt;=$F12,BC$7&lt;=$F12+$G12-1),1,""))</f>
        <v/>
      </c>
      <c r="BD12" s="71" t="str">
        <f aca="false">IF(AND($C12="Goal",BD$7&gt;=$F12,BD$7&lt;=$F12+$G12-1),2,IF(AND($C12="Milestone",BD$7&gt;=$F12,BD$7&lt;=$F12+$G12-1),1,""))</f>
        <v/>
      </c>
      <c r="BE12" s="71" t="str">
        <f aca="false">IF(AND($C12="Goal",BE$7&gt;=$F12,BE$7&lt;=$F12+$G12-1),2,IF(AND($C12="Milestone",BE$7&gt;=$F12,BE$7&lt;=$F12+$G12-1),1,""))</f>
        <v/>
      </c>
      <c r="BF12" s="71" t="str">
        <f aca="false">IF(AND($C12="Goal",BF$7&gt;=$F12,BF$7&lt;=$F12+$G12-1),2,IF(AND($C12="Milestone",BF$7&gt;=$F12,BF$7&lt;=$F12+$G12-1),1,""))</f>
        <v/>
      </c>
      <c r="BG12" s="71" t="str">
        <f aca="false">IF(AND($C12="Goal",BG$7&gt;=$F12,BG$7&lt;=$F12+$G12-1),2,IF(AND($C12="Milestone",BG$7&gt;=$F12,BG$7&lt;=$F12+$G12-1),1,""))</f>
        <v/>
      </c>
      <c r="BH12" s="71" t="str">
        <f aca="false">IF(AND($C12="Goal",BH$7&gt;=$F12,BH$7&lt;=$F12+$G12-1),2,IF(AND($C12="Milestone",BH$7&gt;=$F12,BH$7&lt;=$F12+$G12-1),1,""))</f>
        <v/>
      </c>
      <c r="BI12" s="71" t="str">
        <f aca="false">IF(AND($C12="Goal",BI$7&gt;=$F12,BI$7&lt;=$F12+$G12-1),2,IF(AND($C12="Milestone",BI$7&gt;=$F12,BI$7&lt;=$F12+$G12-1),1,""))</f>
        <v/>
      </c>
      <c r="BJ12" s="71" t="str">
        <f aca="false">IF(AND($C12="Goal",BJ$7&gt;=$F12,BJ$7&lt;=$F12+$G12-1),2,IF(AND($C12="Milestone",BJ$7&gt;=$F12,BJ$7&lt;=$F12+$G12-1),1,""))</f>
        <v/>
      </c>
      <c r="BK12" s="71" t="str">
        <f aca="false">IF(AND($C12="Goal",BK$7&gt;=$F12,BK$7&lt;=$F12+$G12-1),2,IF(AND($C12="Milestone",BK$7&gt;=$F12,BK$7&lt;=$F12+$G12-1),1,""))</f>
        <v/>
      </c>
      <c r="BL12" s="71" t="str">
        <f aca="false">IF(AND($C12="Goal",BL$7&gt;=$F12,BL$7&lt;=$F12+$G12-1),2,IF(AND($C12="Milestone",BL$7&gt;=$F12,BL$7&lt;=$F12+$G12-1),1,""))</f>
        <v/>
      </c>
    </row>
    <row r="13" s="25" customFormat="true" ht="34.5" hidden="false" customHeight="true" outlineLevel="0" collapsed="false">
      <c r="A13" s="15"/>
      <c r="B13" s="60" t="s">
        <v>22</v>
      </c>
      <c r="C13" s="67" t="s">
        <v>23</v>
      </c>
      <c r="D13" s="67" t="s">
        <v>24</v>
      </c>
      <c r="E13" s="68" t="n">
        <v>1</v>
      </c>
      <c r="F13" s="69" t="n">
        <v>45905</v>
      </c>
      <c r="G13" s="70" t="n">
        <v>7</v>
      </c>
      <c r="H13" s="67"/>
      <c r="I13" s="71"/>
      <c r="J13" s="71"/>
      <c r="K13" s="74"/>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row>
    <row r="14" s="25" customFormat="true" ht="39.75" hidden="false" customHeight="true" outlineLevel="0" collapsed="false">
      <c r="A14" s="13"/>
      <c r="B14" s="73" t="s">
        <v>25</v>
      </c>
      <c r="C14" s="67" t="s">
        <v>23</v>
      </c>
      <c r="D14" s="67" t="s">
        <v>26</v>
      </c>
      <c r="E14" s="68" t="n">
        <v>1</v>
      </c>
      <c r="F14" s="69" t="n">
        <v>45905</v>
      </c>
      <c r="G14" s="70" t="n">
        <v>3</v>
      </c>
      <c r="H14" s="67"/>
      <c r="I14" s="71" t="str">
        <f aca="false">IF(AND($C14="Goal",I$7&gt;=$F14,I$7&lt;=$F14+$G14-1),2,IF(AND($C14="Milestone",I$7&gt;=$F14,I$7&lt;=$F14+$G14-1),1,""))</f>
        <v/>
      </c>
      <c r="J14" s="71" t="str">
        <f aca="false">IF(AND($C14="Goal",J$7&gt;=$F14,J$7&lt;=$F14+$G14-1),2,IF(AND($C14="Milestone",J$7&gt;=$F14,J$7&lt;=$F14+$G14-1),1,""))</f>
        <v/>
      </c>
      <c r="K14" s="71" t="str">
        <f aca="false">IF(AND($C14="Goal",K$7&gt;=$F14,K$7&lt;=$F14+$G14-1),2,IF(AND($C14="Milestone",K$7&gt;=$F14,K$7&lt;=$F14+$G14-1),1,""))</f>
        <v/>
      </c>
      <c r="L14" s="71" t="str">
        <f aca="false">IF(AND($C14="Goal",L$7&gt;=$F14,L$7&lt;=$F14+$G14-1),2,IF(AND($C14="Milestone",L$7&gt;=$F14,L$7&lt;=$F14+$G14-1),1,""))</f>
        <v/>
      </c>
      <c r="M14" s="75" t="str">
        <f aca="false">IF(AND($C14="Goal",M$7&gt;=$F14,M$7&lt;=$F14+$G14-1),2,IF(AND($C14="Milestone",M$7&gt;=$F14,M$7&lt;=$F14+$G14-1),1,""))</f>
        <v/>
      </c>
      <c r="N14" s="75"/>
      <c r="O14" s="75" t="str">
        <f aca="false">IF(AND($C14="Goal",O$7&gt;=$F14,O$7&lt;=$F14+$G14-1),2,IF(AND($C14="Milestone",O$7&gt;=$F14,O$7&lt;=$F14+$G14-1),1,""))</f>
        <v/>
      </c>
      <c r="P14" s="76" t="n">
        <f aca="false">B1</f>
        <v>0</v>
      </c>
      <c r="Q14" s="71" t="str">
        <f aca="false">IF(AND($C14="Goal",Q$7&gt;=$F14,Q$7&lt;=$F14+$G14-1),2,IF(AND($C14="Milestone",Q$7&gt;=$F14,Q$7&lt;=$F14+$G14-1),1,""))</f>
        <v/>
      </c>
      <c r="R14" s="71" t="str">
        <f aca="false">IF(AND($C14="Goal",R$7&gt;=$F14,R$7&lt;=$F14+$G14-1),2,IF(AND($C14="Milestone",R$7&gt;=$F14,R$7&lt;=$F14+$G14-1),1,""))</f>
        <v/>
      </c>
      <c r="S14" s="71" t="str">
        <f aca="false">IF(AND($C14="Goal",S$7&gt;=$F14,S$7&lt;=$F14+$G14-1),2,IF(AND($C14="Milestone",S$7&gt;=$F14,S$7&lt;=$F14+$G14-1),1,""))</f>
        <v/>
      </c>
      <c r="T14" s="71" t="str">
        <f aca="false">IF(AND($C14="Goal",T$7&gt;=$F14,T$7&lt;=$F14+$G14-1),2,IF(AND($C14="Milestone",T$7&gt;=$F14,T$7&lt;=$F14+$G14-1),1,""))</f>
        <v/>
      </c>
      <c r="U14" s="71" t="str">
        <f aca="false">IF(AND($C14="Goal",U$7&gt;=$F14,U$7&lt;=$F14+$G14-1),2,IF(AND($C14="Milestone",U$7&gt;=$F14,U$7&lt;=$F14+$G14-1),1,""))</f>
        <v/>
      </c>
      <c r="V14" s="71" t="str">
        <f aca="false">IF(AND($C14="Goal",V$7&gt;=$F14,V$7&lt;=$F14+$G14-1),2,IF(AND($C14="Milestone",V$7&gt;=$F14,V$7&lt;=$F14+$G14-1),1,""))</f>
        <v/>
      </c>
      <c r="W14" s="71" t="str">
        <f aca="false">IF(AND($C14="Goal",W$7&gt;=$F14,W$7&lt;=$F14+$G14-1),2,IF(AND($C14="Milestone",W$7&gt;=$F14,W$7&lt;=$F14+$G14-1),1,""))</f>
        <v/>
      </c>
      <c r="X14" s="71" t="str">
        <f aca="false">IF(AND($C14="Goal",X$7&gt;=$F14,X$7&lt;=$F14+$G14-1),2,IF(AND($C14="Milestone",X$7&gt;=$F14,X$7&lt;=$F14+$G14-1),1,""))</f>
        <v/>
      </c>
      <c r="Y14" s="71" t="str">
        <f aca="false">IF(AND($C14="Goal",Y$7&gt;=$F14,Y$7&lt;=$F14+$G14-1),2,IF(AND($C14="Milestone",Y$7&gt;=$F14,Y$7&lt;=$F14+$G14-1),1,""))</f>
        <v/>
      </c>
      <c r="Z14" s="71" t="str">
        <f aca="false">IF(AND($C14="Goal",Z$7&gt;=$F14,Z$7&lt;=$F14+$G14-1),2,IF(AND($C14="Milestone",Z$7&gt;=$F14,Z$7&lt;=$F14+$G14-1),1,""))</f>
        <v/>
      </c>
      <c r="AA14" s="71" t="str">
        <f aca="false">IF(AND($C14="Goal",AA$7&gt;=$F14,AA$7&lt;=$F14+$G14-1),2,IF(AND($C14="Milestone",AA$7&gt;=$F14,AA$7&lt;=$F14+$G14-1),1,""))</f>
        <v/>
      </c>
      <c r="AB14" s="71" t="str">
        <f aca="false">IF(AND($C14="Goal",AB$7&gt;=$F14,AB$7&lt;=$F14+$G14-1),2,IF(AND($C14="Milestone",AB$7&gt;=$F14,AB$7&lt;=$F14+$G14-1),1,""))</f>
        <v/>
      </c>
      <c r="AC14" s="71" t="str">
        <f aca="false">IF(AND($C14="Goal",AC$7&gt;=$F14,AC$7&lt;=$F14+$G14-1),2,IF(AND($C14="Milestone",AC$7&gt;=$F14,AC$7&lt;=$F14+$G14-1),1,""))</f>
        <v/>
      </c>
      <c r="AD14" s="71" t="str">
        <f aca="false">IF(AND($C14="Goal",AD$7&gt;=$F14,AD$7&lt;=$F14+$G14-1),2,IF(AND($C14="Milestone",AD$7&gt;=$F14,AD$7&lt;=$F14+$G14-1),1,""))</f>
        <v/>
      </c>
      <c r="AE14" s="71" t="str">
        <f aca="false">IF(AND($C14="Goal",AE$7&gt;=$F14,AE$7&lt;=$F14+$G14-1),2,IF(AND($C14="Milestone",AE$7&gt;=$F14,AE$7&lt;=$F14+$G14-1),1,""))</f>
        <v/>
      </c>
      <c r="AF14" s="71" t="str">
        <f aca="false">IF(AND($C14="Goal",AF$7&gt;=$F14,AF$7&lt;=$F14+$G14-1),2,IF(AND($C14="Milestone",AF$7&gt;=$F14,AF$7&lt;=$F14+$G14-1),1,""))</f>
        <v/>
      </c>
      <c r="AG14" s="71" t="str">
        <f aca="false">IF(AND($C14="Goal",AG$7&gt;=$F14,AG$7&lt;=$F14+$G14-1),2,IF(AND($C14="Milestone",AG$7&gt;=$F14,AG$7&lt;=$F14+$G14-1),1,""))</f>
        <v/>
      </c>
      <c r="AH14" s="71" t="str">
        <f aca="false">IF(AND($C14="Goal",AH$7&gt;=$F14,AH$7&lt;=$F14+$G14-1),2,IF(AND($C14="Milestone",AH$7&gt;=$F14,AH$7&lt;=$F14+$G14-1),1,""))</f>
        <v/>
      </c>
      <c r="AI14" s="71" t="str">
        <f aca="false">IF(AND($C14="Goal",AI$7&gt;=$F14,AI$7&lt;=$F14+$G14-1),2,IF(AND($C14="Milestone",AI$7&gt;=$F14,AI$7&lt;=$F14+$G14-1),1,""))</f>
        <v/>
      </c>
      <c r="AJ14" s="71" t="str">
        <f aca="false">IF(AND($C14="Goal",AJ$7&gt;=$F14,AJ$7&lt;=$F14+$G14-1),2,IF(AND($C14="Milestone",AJ$7&gt;=$F14,AJ$7&lt;=$F14+$G14-1),1,""))</f>
        <v/>
      </c>
      <c r="AK14" s="71" t="str">
        <f aca="false">IF(AND($C14="Goal",AK$7&gt;=$F14,AK$7&lt;=$F14+$G14-1),2,IF(AND($C14="Milestone",AK$7&gt;=$F14,AK$7&lt;=$F14+$G14-1),1,""))</f>
        <v/>
      </c>
      <c r="AL14" s="71" t="str">
        <f aca="false">IF(AND($C14="Goal",AL$7&gt;=$F14,AL$7&lt;=$F14+$G14-1),2,IF(AND($C14="Milestone",AL$7&gt;=$F14,AL$7&lt;=$F14+$G14-1),1,""))</f>
        <v/>
      </c>
      <c r="AM14" s="71" t="str">
        <f aca="false">IF(AND($C14="Goal",AM$7&gt;=$F14,AM$7&lt;=$F14+$G14-1),2,IF(AND($C14="Milestone",AM$7&gt;=$F14,AM$7&lt;=$F14+$G14-1),1,""))</f>
        <v/>
      </c>
      <c r="AN14" s="71" t="str">
        <f aca="false">IF(AND($C14="Goal",AN$7&gt;=$F14,AN$7&lt;=$F14+$G14-1),2,IF(AND($C14="Milestone",AN$7&gt;=$F14,AN$7&lt;=$F14+$G14-1),1,""))</f>
        <v/>
      </c>
      <c r="AO14" s="71" t="str">
        <f aca="false">IF(AND($C14="Goal",AO$7&gt;=$F14,AO$7&lt;=$F14+$G14-1),2,IF(AND($C14="Milestone",AO$7&gt;=$F14,AO$7&lt;=$F14+$G14-1),1,""))</f>
        <v/>
      </c>
      <c r="AP14" s="71" t="str">
        <f aca="false">IF(AND($C14="Goal",AP$7&gt;=$F14,AP$7&lt;=$F14+$G14-1),2,IF(AND($C14="Milestone",AP$7&gt;=$F14,AP$7&lt;=$F14+$G14-1),1,""))</f>
        <v/>
      </c>
      <c r="AQ14" s="71" t="str">
        <f aca="false">IF(AND($C14="Goal",AQ$7&gt;=$F14,AQ$7&lt;=$F14+$G14-1),2,IF(AND($C14="Milestone",AQ$7&gt;=$F14,AQ$7&lt;=$F14+$G14-1),1,""))</f>
        <v/>
      </c>
      <c r="AR14" s="71" t="str">
        <f aca="false">IF(AND($C14="Goal",AR$7&gt;=$F14,AR$7&lt;=$F14+$G14-1),2,IF(AND($C14="Milestone",AR$7&gt;=$F14,AR$7&lt;=$F14+$G14-1),1,""))</f>
        <v/>
      </c>
      <c r="AS14" s="71" t="str">
        <f aca="false">IF(AND($C14="Goal",AS$7&gt;=$F14,AS$7&lt;=$F14+$G14-1),2,IF(AND($C14="Milestone",AS$7&gt;=$F14,AS$7&lt;=$F14+$G14-1),1,""))</f>
        <v/>
      </c>
      <c r="AT14" s="71" t="str">
        <f aca="false">IF(AND($C14="Goal",AT$7&gt;=$F14,AT$7&lt;=$F14+$G14-1),2,IF(AND($C14="Milestone",AT$7&gt;=$F14,AT$7&lt;=$F14+$G14-1),1,""))</f>
        <v/>
      </c>
      <c r="AU14" s="71" t="str">
        <f aca="false">IF(AND($C14="Goal",AU$7&gt;=$F14,AU$7&lt;=$F14+$G14-1),2,IF(AND($C14="Milestone",AU$7&gt;=$F14,AU$7&lt;=$F14+$G14-1),1,""))</f>
        <v/>
      </c>
      <c r="AV14" s="71" t="str">
        <f aca="false">IF(AND($C14="Goal",AV$7&gt;=$F14,AV$7&lt;=$F14+$G14-1),2,IF(AND($C14="Milestone",AV$7&gt;=$F14,AV$7&lt;=$F14+$G14-1),1,""))</f>
        <v/>
      </c>
      <c r="AW14" s="71" t="str">
        <f aca="false">IF(AND($C14="Goal",AW$7&gt;=$F14,AW$7&lt;=$F14+$G14-1),2,IF(AND($C14="Milestone",AW$7&gt;=$F14,AW$7&lt;=$F14+$G14-1),1,""))</f>
        <v/>
      </c>
      <c r="AX14" s="71" t="str">
        <f aca="false">IF(AND($C14="Goal",AX$7&gt;=$F14,AX$7&lt;=$F14+$G14-1),2,IF(AND($C14="Milestone",AX$7&gt;=$F14,AX$7&lt;=$F14+$G14-1),1,""))</f>
        <v/>
      </c>
      <c r="AY14" s="71" t="str">
        <f aca="false">IF(AND($C14="Goal",AY$7&gt;=$F14,AY$7&lt;=$F14+$G14-1),2,IF(AND($C14="Milestone",AY$7&gt;=$F14,AY$7&lt;=$F14+$G14-1),1,""))</f>
        <v/>
      </c>
      <c r="AZ14" s="71" t="str">
        <f aca="false">IF(AND($C14="Goal",AZ$7&gt;=$F14,AZ$7&lt;=$F14+$G14-1),2,IF(AND($C14="Milestone",AZ$7&gt;=$F14,AZ$7&lt;=$F14+$G14-1),1,""))</f>
        <v/>
      </c>
      <c r="BA14" s="71" t="str">
        <f aca="false">IF(AND($C14="Goal",BA$7&gt;=$F14,BA$7&lt;=$F14+$G14-1),2,IF(AND($C14="Milestone",BA$7&gt;=$F14,BA$7&lt;=$F14+$G14-1),1,""))</f>
        <v/>
      </c>
      <c r="BB14" s="71" t="str">
        <f aca="false">IF(AND($C14="Goal",BB$7&gt;=$F14,BB$7&lt;=$F14+$G14-1),2,IF(AND($C14="Milestone",BB$7&gt;=$F14,BB$7&lt;=$F14+$G14-1),1,""))</f>
        <v/>
      </c>
      <c r="BC14" s="71" t="str">
        <f aca="false">IF(AND($C14="Goal",BC$7&gt;=$F14,BC$7&lt;=$F14+$G14-1),2,IF(AND($C14="Milestone",BC$7&gt;=$F14,BC$7&lt;=$F14+$G14-1),1,""))</f>
        <v/>
      </c>
      <c r="BD14" s="71" t="str">
        <f aca="false">IF(AND($C14="Goal",BD$7&gt;=$F14,BD$7&lt;=$F14+$G14-1),2,IF(AND($C14="Milestone",BD$7&gt;=$F14,BD$7&lt;=$F14+$G14-1),1,""))</f>
        <v/>
      </c>
      <c r="BE14" s="71" t="str">
        <f aca="false">IF(AND($C14="Goal",BE$7&gt;=$F14,BE$7&lt;=$F14+$G14-1),2,IF(AND($C14="Milestone",BE$7&gt;=$F14,BE$7&lt;=$F14+$G14-1),1,""))</f>
        <v/>
      </c>
      <c r="BF14" s="71" t="str">
        <f aca="false">IF(AND($C14="Goal",BF$7&gt;=$F14,BF$7&lt;=$F14+$G14-1),2,IF(AND($C14="Milestone",BF$7&gt;=$F14,BF$7&lt;=$F14+$G14-1),1,""))</f>
        <v/>
      </c>
      <c r="BG14" s="71" t="str">
        <f aca="false">IF(AND($C14="Goal",BG$7&gt;=$F14,BG$7&lt;=$F14+$G14-1),2,IF(AND($C14="Milestone",BG$7&gt;=$F14,BG$7&lt;=$F14+$G14-1),1,""))</f>
        <v/>
      </c>
      <c r="BH14" s="71" t="str">
        <f aca="false">IF(AND($C14="Goal",BH$7&gt;=$F14,BH$7&lt;=$F14+$G14-1),2,IF(AND($C14="Milestone",BH$7&gt;=$F14,BH$7&lt;=$F14+$G14-1),1,""))</f>
        <v/>
      </c>
      <c r="BI14" s="71" t="str">
        <f aca="false">IF(AND($C14="Goal",BI$7&gt;=$F14,BI$7&lt;=$F14+$G14-1),2,IF(AND($C14="Milestone",BI$7&gt;=$F14,BI$7&lt;=$F14+$G14-1),1,""))</f>
        <v/>
      </c>
      <c r="BJ14" s="71" t="str">
        <f aca="false">IF(AND($C14="Goal",BJ$7&gt;=$F14,BJ$7&lt;=$F14+$G14-1),2,IF(AND($C14="Milestone",BJ$7&gt;=$F14,BJ$7&lt;=$F14+$G14-1),1,""))</f>
        <v/>
      </c>
      <c r="BK14" s="71" t="str">
        <f aca="false">IF(AND($C14="Goal",BK$7&gt;=$F14,BK$7&lt;=$F14+$G14-1),2,IF(AND($C14="Milestone",BK$7&gt;=$F14,BK$7&lt;=$F14+$G14-1),1,""))</f>
        <v/>
      </c>
      <c r="BL14" s="71" t="str">
        <f aca="false">IF(AND($C14="Goal",BL$7&gt;=$F14,BL$7&lt;=$F14+$G14-1),2,IF(AND($C14="Milestone",BL$7&gt;=$F14,BL$7&lt;=$F14+$G14-1),1,""))</f>
        <v/>
      </c>
    </row>
    <row r="15" s="25" customFormat="true" ht="39.75" hidden="false" customHeight="true" outlineLevel="0" collapsed="false">
      <c r="A15" s="13"/>
      <c r="B15" s="73" t="s">
        <v>27</v>
      </c>
      <c r="C15" s="67" t="s">
        <v>20</v>
      </c>
      <c r="D15" s="67" t="s">
        <v>26</v>
      </c>
      <c r="E15" s="68" t="n">
        <v>1</v>
      </c>
      <c r="F15" s="69" t="n">
        <v>45912</v>
      </c>
      <c r="G15" s="70" t="n">
        <v>7</v>
      </c>
      <c r="H15" s="67"/>
      <c r="I15" s="71" t="str">
        <f aca="false">IF(AND($C15="Goal",I$7&gt;=$F15,I$7&lt;=$F15+$G15-1),2,IF(AND($C15="Milestone",I$7&gt;=$F15,I$7&lt;=$F15+$G15-1),1,""))</f>
        <v/>
      </c>
      <c r="J15" s="71" t="str">
        <f aca="false">IF(AND($C15="Goal",J$7&gt;=$F15,J$7&lt;=$F15+$G15-1),2,IF(AND($C15="Milestone",J$7&gt;=$F15,J$7&lt;=$F15+$G15-1),1,""))</f>
        <v/>
      </c>
      <c r="K15" s="71" t="str">
        <f aca="false">IF(AND($C15="Goal",K$7&gt;=$F15,K$7&lt;=$F15+$G15-1),2,IF(AND($C15="Milestone",K$7&gt;=$F15,K$7&lt;=$F15+$G15-1),1,""))</f>
        <v/>
      </c>
      <c r="L15" s="71" t="str">
        <f aca="false">IF(AND($C15="Goal",L$7&gt;=$F15,L$7&lt;=$F15+$G15-1),2,IF(AND($C15="Milestone",L$7&gt;=$F15,L$7&lt;=$F15+$G15-1),1,""))</f>
        <v/>
      </c>
      <c r="M15" s="71" t="str">
        <f aca="false">IF(AND($C15="Goal",M$7&gt;=$F15,M$7&lt;=$F15+$G15-1),2,IF(AND($C15="Milestone",M$7&gt;=$F15,M$7&lt;=$F15+$G15-1),1,""))</f>
        <v/>
      </c>
      <c r="N15" s="71" t="str">
        <f aca="false">IF(AND($C15="Goal",N$7&gt;=$F15,N$7&lt;=$F15+$G15-1),2,IF(AND($C15="Milestone",N$7&gt;=$F15,N$7&lt;=$F15+$G15-1),1,""))</f>
        <v/>
      </c>
      <c r="O15" s="71" t="str">
        <f aca="false">IF(AND($C15="Goal",O$7&gt;=$F15,O$7&lt;=$F15+$G15-1),2,IF(AND($C15="Milestone",O$7&gt;=$F15,O$7&lt;=$F15+$G15-1),1,""))</f>
        <v/>
      </c>
      <c r="P15" s="75" t="str">
        <f aca="false">IF(AND($C15="Goal",P$7&gt;=$F15,P$7&lt;=$F15+$G15-1),2,IF(AND($C15="Milestone",P$7&gt;=$F15,P$7&lt;=$F15+$G15-1),1,""))</f>
        <v/>
      </c>
      <c r="Q15" s="75" t="str">
        <f aca="false">IF(AND($C15="Goal",Q$7&gt;=$F15,Q$7&lt;=$F15+$G15-1),2,IF(AND($C15="Milestone",Q$7&gt;=$F15,Q$7&lt;=$F15+$G15-1),1,""))</f>
        <v/>
      </c>
      <c r="R15" s="75" t="str">
        <f aca="false">S15</f>
        <v/>
      </c>
      <c r="S15" s="71" t="str">
        <f aca="false">IF(AND($C15="Goal",S$7&gt;=$F15,S$7&lt;=$F15+$G15-1),2,IF(AND($C15="Milestone",S$7&gt;=$F15,S$7&lt;=$F15+$G15-1),1,""))</f>
        <v/>
      </c>
      <c r="T15" s="71" t="str">
        <f aca="false">IF(AND($C15="Goal",T$7&gt;=$F15,T$7&lt;=$F15+$G15-1),2,IF(AND($C15="Milestone",T$7&gt;=$F15,T$7&lt;=$F15+$G15-1),1,""))</f>
        <v/>
      </c>
      <c r="U15" s="71" t="str">
        <f aca="false">IF(AND($C15="Goal",U$7&gt;=$F15,U$7&lt;=$F15+$G15-1),2,IF(AND($C15="Milestone",U$7&gt;=$F15,U$7&lt;=$F15+$G15-1),1,""))</f>
        <v/>
      </c>
      <c r="V15" s="71" t="str">
        <f aca="false">IF(AND($C15="Goal",V$7&gt;=$F15,V$7&lt;=$F15+$G15-1),2,IF(AND($C15="Milestone",V$7&gt;=$F15,V$7&lt;=$F15+$G15-1),1,""))</f>
        <v/>
      </c>
      <c r="W15" s="71" t="str">
        <f aca="false">IF(AND($C15="Goal",W$7&gt;=$F15,W$7&lt;=$F15+$G15-1),2,IF(AND($C15="Milestone",W$7&gt;=$F15,W$7&lt;=$F15+$G15-1),1,""))</f>
        <v/>
      </c>
      <c r="X15" s="71" t="str">
        <f aca="false">IF(AND($C15="Goal",X$7&gt;=$F15,X$7&lt;=$F15+$G15-1),2,IF(AND($C15="Milestone",X$7&gt;=$F15,X$7&lt;=$F15+$G15-1),1,""))</f>
        <v/>
      </c>
      <c r="Y15" s="71" t="str">
        <f aca="false">IF(AND($C15="Goal",Y$7&gt;=$F15,Y$7&lt;=$F15+$G15-1),2,IF(AND($C15="Milestone",Y$7&gt;=$F15,Y$7&lt;=$F15+$G15-1),1,""))</f>
        <v/>
      </c>
      <c r="Z15" s="71" t="str">
        <f aca="false">IF(AND($C15="Goal",Z$7&gt;=$F15,Z$7&lt;=$F15+$G15-1),2,IF(AND($C15="Milestone",Z$7&gt;=$F15,Z$7&lt;=$F15+$G15-1),1,""))</f>
        <v/>
      </c>
      <c r="AA15" s="71" t="str">
        <f aca="false">IF(AND($C15="Goal",AA$7&gt;=$F15,AA$7&lt;=$F15+$G15-1),2,IF(AND($C15="Milestone",AA$7&gt;=$F15,AA$7&lt;=$F15+$G15-1),1,""))</f>
        <v/>
      </c>
      <c r="AB15" s="71" t="str">
        <f aca="false">IF(AND($C15="Goal",AB$7&gt;=$F15,AB$7&lt;=$F15+$G15-1),2,IF(AND($C15="Milestone",AB$7&gt;=$F15,AB$7&lt;=$F15+$G15-1),1,""))</f>
        <v/>
      </c>
      <c r="AC15" s="71" t="str">
        <f aca="false">IF(AND($C15="Goal",AC$7&gt;=$F15,AC$7&lt;=$F15+$G15-1),2,IF(AND($C15="Milestone",AC$7&gt;=$F15,AC$7&lt;=$F15+$G15-1),1,""))</f>
        <v/>
      </c>
      <c r="AD15" s="71" t="str">
        <f aca="false">IF(AND($C15="Goal",AD$7&gt;=$F15,AD$7&lt;=$F15+$G15-1),2,IF(AND($C15="Milestone",AD$7&gt;=$F15,AD$7&lt;=$F15+$G15-1),1,""))</f>
        <v/>
      </c>
      <c r="AE15" s="71" t="str">
        <f aca="false">IF(AND($C15="Goal",AE$7&gt;=$F15,AE$7&lt;=$F15+$G15-1),2,IF(AND($C15="Milestone",AE$7&gt;=$F15,AE$7&lt;=$F15+$G15-1),1,""))</f>
        <v/>
      </c>
      <c r="AF15" s="71" t="str">
        <f aca="false">IF(AND($C15="Goal",AF$7&gt;=$F15,AF$7&lt;=$F15+$G15-1),2,IF(AND($C15="Milestone",AF$7&gt;=$F15,AF$7&lt;=$F15+$G15-1),1,""))</f>
        <v/>
      </c>
      <c r="AG15" s="71" t="str">
        <f aca="false">IF(AND($C15="Goal",AG$7&gt;=$F15,AG$7&lt;=$F15+$G15-1),2,IF(AND($C15="Milestone",AG$7&gt;=$F15,AG$7&lt;=$F15+$G15-1),1,""))</f>
        <v/>
      </c>
      <c r="AH15" s="71" t="str">
        <f aca="false">IF(AND($C15="Goal",AH$7&gt;=$F15,AH$7&lt;=$F15+$G15-1),2,IF(AND($C15="Milestone",AH$7&gt;=$F15,AH$7&lt;=$F15+$G15-1),1,""))</f>
        <v/>
      </c>
      <c r="AI15" s="71" t="str">
        <f aca="false">IF(AND($C15="Goal",AI$7&gt;=$F15,AI$7&lt;=$F15+$G15-1),2,IF(AND($C15="Milestone",AI$7&gt;=$F15,AI$7&lt;=$F15+$G15-1),1,""))</f>
        <v/>
      </c>
      <c r="AJ15" s="71" t="str">
        <f aca="false">IF(AND($C15="Goal",AJ$7&gt;=$F15,AJ$7&lt;=$F15+$G15-1),2,IF(AND($C15="Milestone",AJ$7&gt;=$F15,AJ$7&lt;=$F15+$G15-1),1,""))</f>
        <v/>
      </c>
      <c r="AK15" s="71" t="str">
        <f aca="false">IF(AND($C15="Goal",AK$7&gt;=$F15,AK$7&lt;=$F15+$G15-1),2,IF(AND($C15="Milestone",AK$7&gt;=$F15,AK$7&lt;=$F15+$G15-1),1,""))</f>
        <v/>
      </c>
      <c r="AL15" s="71" t="str">
        <f aca="false">IF(AND($C15="Goal",AL$7&gt;=$F15,AL$7&lt;=$F15+$G15-1),2,IF(AND($C15="Milestone",AL$7&gt;=$F15,AL$7&lt;=$F15+$G15-1),1,""))</f>
        <v/>
      </c>
      <c r="AM15" s="71" t="str">
        <f aca="false">IF(AND($C15="Goal",AM$7&gt;=$F15,AM$7&lt;=$F15+$G15-1),2,IF(AND($C15="Milestone",AM$7&gt;=$F15,AM$7&lt;=$F15+$G15-1),1,""))</f>
        <v/>
      </c>
      <c r="AN15" s="71" t="str">
        <f aca="false">IF(AND($C15="Goal",AN$7&gt;=$F15,AN$7&lt;=$F15+$G15-1),2,IF(AND($C15="Milestone",AN$7&gt;=$F15,AN$7&lt;=$F15+$G15-1),1,""))</f>
        <v/>
      </c>
      <c r="AO15" s="71" t="str">
        <f aca="false">IF(AND($C15="Goal",AO$7&gt;=$F15,AO$7&lt;=$F15+$G15-1),2,IF(AND($C15="Milestone",AO$7&gt;=$F15,AO$7&lt;=$F15+$G15-1),1,""))</f>
        <v/>
      </c>
      <c r="AP15" s="71" t="str">
        <f aca="false">IF(AND($C15="Goal",AP$7&gt;=$F15,AP$7&lt;=$F15+$G15-1),2,IF(AND($C15="Milestone",AP$7&gt;=$F15,AP$7&lt;=$F15+$G15-1),1,""))</f>
        <v/>
      </c>
      <c r="AQ15" s="71" t="str">
        <f aca="false">IF(AND($C15="Goal",AQ$7&gt;=$F15,AQ$7&lt;=$F15+$G15-1),2,IF(AND($C15="Milestone",AQ$7&gt;=$F15,AQ$7&lt;=$F15+$G15-1),1,""))</f>
        <v/>
      </c>
      <c r="AR15" s="71" t="str">
        <f aca="false">IF(AND($C15="Goal",AR$7&gt;=$F15,AR$7&lt;=$F15+$G15-1),2,IF(AND($C15="Milestone",AR$7&gt;=$F15,AR$7&lt;=$F15+$G15-1),1,""))</f>
        <v/>
      </c>
      <c r="AS15" s="71" t="str">
        <f aca="false">IF(AND($C15="Goal",AS$7&gt;=$F15,AS$7&lt;=$F15+$G15-1),2,IF(AND($C15="Milestone",AS$7&gt;=$F15,AS$7&lt;=$F15+$G15-1),1,""))</f>
        <v/>
      </c>
      <c r="AT15" s="71" t="str">
        <f aca="false">IF(AND($C15="Goal",AT$7&gt;=$F15,AT$7&lt;=$F15+$G15-1),2,IF(AND($C15="Milestone",AT$7&gt;=$F15,AT$7&lt;=$F15+$G15-1),1,""))</f>
        <v/>
      </c>
      <c r="AU15" s="71" t="str">
        <f aca="false">IF(AND($C15="Goal",AU$7&gt;=$F15,AU$7&lt;=$F15+$G15-1),2,IF(AND($C15="Milestone",AU$7&gt;=$F15,AU$7&lt;=$F15+$G15-1),1,""))</f>
        <v/>
      </c>
      <c r="AV15" s="71" t="str">
        <f aca="false">IF(AND($C15="Goal",AV$7&gt;=$F15,AV$7&lt;=$F15+$G15-1),2,IF(AND($C15="Milestone",AV$7&gt;=$F15,AV$7&lt;=$F15+$G15-1),1,""))</f>
        <v/>
      </c>
      <c r="AW15" s="71" t="str">
        <f aca="false">IF(AND($C15="Goal",AW$7&gt;=$F15,AW$7&lt;=$F15+$G15-1),2,IF(AND($C15="Milestone",AW$7&gt;=$F15,AW$7&lt;=$F15+$G15-1),1,""))</f>
        <v/>
      </c>
      <c r="AX15" s="71" t="str">
        <f aca="false">IF(AND($C15="Goal",AX$7&gt;=$F15,AX$7&lt;=$F15+$G15-1),2,IF(AND($C15="Milestone",AX$7&gt;=$F15,AX$7&lt;=$F15+$G15-1),1,""))</f>
        <v/>
      </c>
      <c r="AY15" s="71" t="str">
        <f aca="false">IF(AND($C15="Goal",AY$7&gt;=$F15,AY$7&lt;=$F15+$G15-1),2,IF(AND($C15="Milestone",AY$7&gt;=$F15,AY$7&lt;=$F15+$G15-1),1,""))</f>
        <v/>
      </c>
      <c r="AZ15" s="71" t="str">
        <f aca="false">IF(AND($C15="Goal",AZ$7&gt;=$F15,AZ$7&lt;=$F15+$G15-1),2,IF(AND($C15="Milestone",AZ$7&gt;=$F15,AZ$7&lt;=$F15+$G15-1),1,""))</f>
        <v/>
      </c>
      <c r="BA15" s="71" t="str">
        <f aca="false">IF(AND($C15="Goal",BA$7&gt;=$F15,BA$7&lt;=$F15+$G15-1),2,IF(AND($C15="Milestone",BA$7&gt;=$F15,BA$7&lt;=$F15+$G15-1),1,""))</f>
        <v/>
      </c>
      <c r="BB15" s="71" t="str">
        <f aca="false">IF(AND($C15="Goal",BB$7&gt;=$F15,BB$7&lt;=$F15+$G15-1),2,IF(AND($C15="Milestone",BB$7&gt;=$F15,BB$7&lt;=$F15+$G15-1),1,""))</f>
        <v/>
      </c>
      <c r="BC15" s="71" t="str">
        <f aca="false">IF(AND($C15="Goal",BC$7&gt;=$F15,BC$7&lt;=$F15+$G15-1),2,IF(AND($C15="Milestone",BC$7&gt;=$F15,BC$7&lt;=$F15+$G15-1),1,""))</f>
        <v/>
      </c>
      <c r="BD15" s="71" t="str">
        <f aca="false">IF(AND($C15="Goal",BD$7&gt;=$F15,BD$7&lt;=$F15+$G15-1),2,IF(AND($C15="Milestone",BD$7&gt;=$F15,BD$7&lt;=$F15+$G15-1),1,""))</f>
        <v/>
      </c>
      <c r="BE15" s="71" t="str">
        <f aca="false">IF(AND($C15="Goal",BE$7&gt;=$F15,BE$7&lt;=$F15+$G15-1),2,IF(AND($C15="Milestone",BE$7&gt;=$F15,BE$7&lt;=$F15+$G15-1),1,""))</f>
        <v/>
      </c>
      <c r="BF15" s="71" t="str">
        <f aca="false">IF(AND($C15="Goal",BF$7&gt;=$F15,BF$7&lt;=$F15+$G15-1),2,IF(AND($C15="Milestone",BF$7&gt;=$F15,BF$7&lt;=$F15+$G15-1),1,""))</f>
        <v/>
      </c>
      <c r="BG15" s="71" t="str">
        <f aca="false">IF(AND($C15="Goal",BG$7&gt;=$F15,BG$7&lt;=$F15+$G15-1),2,IF(AND($C15="Milestone",BG$7&gt;=$F15,BG$7&lt;=$F15+$G15-1),1,""))</f>
        <v/>
      </c>
      <c r="BH15" s="71" t="str">
        <f aca="false">IF(AND($C15="Goal",BH$7&gt;=$F15,BH$7&lt;=$F15+$G15-1),2,IF(AND($C15="Milestone",BH$7&gt;=$F15,BH$7&lt;=$F15+$G15-1),1,""))</f>
        <v/>
      </c>
      <c r="BI15" s="71" t="str">
        <f aca="false">IF(AND($C15="Goal",BI$7&gt;=$F15,BI$7&lt;=$F15+$G15-1),2,IF(AND($C15="Milestone",BI$7&gt;=$F15,BI$7&lt;=$F15+$G15-1),1,""))</f>
        <v/>
      </c>
      <c r="BJ15" s="71" t="str">
        <f aca="false">IF(AND($C15="Goal",BJ$7&gt;=$F15,BJ$7&lt;=$F15+$G15-1),2,IF(AND($C15="Milestone",BJ$7&gt;=$F15,BJ$7&lt;=$F15+$G15-1),1,""))</f>
        <v/>
      </c>
      <c r="BK15" s="71" t="str">
        <f aca="false">IF(AND($C15="Goal",BK$7&gt;=$F15,BK$7&lt;=$F15+$G15-1),2,IF(AND($C15="Milestone",BK$7&gt;=$F15,BK$7&lt;=$F15+$G15-1),1,""))</f>
        <v/>
      </c>
      <c r="BL15" s="71" t="str">
        <f aca="false">IF(AND($C15="Goal",BL$7&gt;=$F15,BL$7&lt;=$F15+$G15-1),2,IF(AND($C15="Milestone",BL$7&gt;=$F15,BL$7&lt;=$F15+$G15-1),1,""))</f>
        <v/>
      </c>
    </row>
    <row r="16" s="25" customFormat="true" ht="39.75" hidden="false" customHeight="true" outlineLevel="0" collapsed="false">
      <c r="A16" s="13"/>
      <c r="B16" s="73" t="s">
        <v>28</v>
      </c>
      <c r="C16" s="67" t="s">
        <v>23</v>
      </c>
      <c r="D16" s="67" t="s">
        <v>24</v>
      </c>
      <c r="E16" s="68" t="n">
        <v>1</v>
      </c>
      <c r="F16" s="69" t="n">
        <v>45912</v>
      </c>
      <c r="G16" s="70" t="n">
        <v>7</v>
      </c>
      <c r="H16" s="67"/>
      <c r="I16" s="71"/>
      <c r="J16" s="71"/>
      <c r="K16" s="71"/>
      <c r="L16" s="71"/>
      <c r="M16" s="71"/>
      <c r="N16" s="71"/>
      <c r="O16" s="71"/>
      <c r="P16" s="75"/>
      <c r="Q16" s="75"/>
      <c r="R16" s="75"/>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row>
    <row r="17" s="25" customFormat="true" ht="39.75" hidden="false" customHeight="true" outlineLevel="0" collapsed="false">
      <c r="A17" s="13"/>
      <c r="B17" s="73" t="s">
        <v>29</v>
      </c>
      <c r="C17" s="67" t="s">
        <v>20</v>
      </c>
      <c r="D17" s="67" t="s">
        <v>24</v>
      </c>
      <c r="E17" s="68" t="n">
        <v>1</v>
      </c>
      <c r="F17" s="69" t="n">
        <v>45912</v>
      </c>
      <c r="G17" s="70" t="n">
        <v>7</v>
      </c>
      <c r="H17" s="67"/>
      <c r="I17" s="71" t="str">
        <f aca="false">IF(AND($C17="Goal",I$7&gt;=$F17,I$7&lt;=$F17+$G17-1),2,IF(AND($C17="Milestone",I$7&gt;=$F17,I$7&lt;=$F17+$G17-1),1,""))</f>
        <v/>
      </c>
      <c r="J17" s="71" t="str">
        <f aca="false">IF(AND($C17="Goal",J$7&gt;=$F17,J$7&lt;=$F17+$G17-1),2,IF(AND($C17="Milestone",J$7&gt;=$F17,J$7&lt;=$F17+$G17-1),1,""))</f>
        <v/>
      </c>
      <c r="K17" s="71" t="str">
        <f aca="false">IF(AND($C17="Goal",K$7&gt;=$F17,K$7&lt;=$F17+$G17-1),2,IF(AND($C17="Milestone",K$7&gt;=$F17,K$7&lt;=$F17+$G17-1),1,""))</f>
        <v/>
      </c>
      <c r="L17" s="71" t="str">
        <f aca="false">IF(AND($C17="Goal",L$7&gt;=$F17,L$7&lt;=$F17+$G17-1),2,IF(AND($C17="Milestone",L$7&gt;=$F17,L$7&lt;=$F17+$G17-1),1,""))</f>
        <v/>
      </c>
      <c r="M17" s="71" t="str">
        <f aca="false">IF(AND($C17="Goal",M$7&gt;=$F17,M$7&lt;=$F17+$G17-1),2,IF(AND($C17="Milestone",M$7&gt;=$F17,M$7&lt;=$F17+$G17-1),1,""))</f>
        <v/>
      </c>
      <c r="N17" s="71" t="str">
        <f aca="false">IF(AND($C17="Goal",N$7&gt;=$F17,N$7&lt;=$F17+$G17-1),2,IF(AND($C17="Milestone",N$7&gt;=$F17,N$7&lt;=$F17+$G17-1),1,""))</f>
        <v/>
      </c>
      <c r="O17" s="71" t="str">
        <f aca="false">IF(AND($C17="Goal",O$7&gt;=$F17,O$7&lt;=$F17+$G17-1),2,IF(AND($C17="Milestone",O$7&gt;=$F17,O$7&lt;=$F17+$G17-1),1,""))</f>
        <v/>
      </c>
      <c r="P17" s="71" t="str">
        <f aca="false">IF(AND($C17="Goal",P$7&gt;=$F17,P$7&lt;=$F17+$G17-1),2,IF(AND($C17="Milestone",P$7&gt;=$F17,P$7&lt;=$F17+$G17-1),1,""))</f>
        <v/>
      </c>
      <c r="Q17" s="71" t="str">
        <f aca="false">IF(AND($C17="Goal",Q$7&gt;=$F17,Q$7&lt;=$F17+$G17-1),2,IF(AND($C17="Milestone",Q$7&gt;=$F17,Q$7&lt;=$F17+$G17-1),1,""))</f>
        <v/>
      </c>
      <c r="R17" s="75" t="str">
        <f aca="false">IF(AND($C17="Goal",R$7&gt;=$F17,R$7&lt;=$F17+$G17-1),2,IF(AND($C17="Milestone",R$7&gt;=$F17,R$7&lt;=$F17+$G17-1),1,""))</f>
        <v/>
      </c>
      <c r="S17" s="75" t="str">
        <f aca="false">IF(AND($C17="Goal",S$7&gt;=$F17,S$7&lt;=$F17+$G17-1),2,IF(AND($C17="Milestone",S$7&gt;=$F17,S$7&lt;=$F17+$G17-1),1,""))</f>
        <v/>
      </c>
      <c r="T17" s="75" t="str">
        <f aca="false">IF(AND($C17="Goal",T$7&gt;=$F17,T$7&lt;=$F17+$G17-1),2,IF(AND($C17="Milestone",T$7&gt;=$F17,T$7&lt;=$F17+$G17-1),1,""))</f>
        <v/>
      </c>
      <c r="U17" s="71" t="str">
        <f aca="false">IF(AND($C17="Goal",U$7&gt;=$F17,U$7&lt;=$F17+$G17-1),2,IF(AND($C17="Milestone",U$7&gt;=$F17,U$7&lt;=$F17+$G17-1),1,""))</f>
        <v/>
      </c>
      <c r="V17" s="71" t="str">
        <f aca="false">IF(AND($C17="Goal",V$7&gt;=$F17,V$7&lt;=$F17+$G17-1),2,IF(AND($C17="Milestone",V$7&gt;=$F17,V$7&lt;=$F17+$G17-1),1,""))</f>
        <v/>
      </c>
      <c r="W17" s="71" t="str">
        <f aca="false">IF(AND($C17="Goal",W$7&gt;=$F17,W$7&lt;=$F17+$G17-1),2,IF(AND($C17="Milestone",W$7&gt;=$F17,W$7&lt;=$F17+$G17-1),1,""))</f>
        <v/>
      </c>
      <c r="X17" s="71" t="str">
        <f aca="false">IF(AND($C17="Goal",X$7&gt;=$F17,X$7&lt;=$F17+$G17-1),2,IF(AND($C17="Milestone",X$7&gt;=$F17,X$7&lt;=$F17+$G17-1),1,""))</f>
        <v/>
      </c>
      <c r="Y17" s="71" t="str">
        <f aca="false">IF(AND($C17="Goal",Y$7&gt;=$F17,Y$7&lt;=$F17+$G17-1),2,IF(AND($C17="Milestone",Y$7&gt;=$F17,Y$7&lt;=$F17+$G17-1),1,""))</f>
        <v/>
      </c>
      <c r="Z17" s="71" t="str">
        <f aca="false">IF(AND($C17="Goal",Z$7&gt;=$F17,Z$7&lt;=$F17+$G17-1),2,IF(AND($C17="Milestone",Z$7&gt;=$F17,Z$7&lt;=$F17+$G17-1),1,""))</f>
        <v/>
      </c>
      <c r="AA17" s="71" t="str">
        <f aca="false">IF(AND($C17="Goal",AA$7&gt;=$F17,AA$7&lt;=$F17+$G17-1),2,IF(AND($C17="Milestone",AA$7&gt;=$F17,AA$7&lt;=$F17+$G17-1),1,""))</f>
        <v/>
      </c>
      <c r="AB17" s="71" t="str">
        <f aca="false">IF(AND($C17="Goal",AB$7&gt;=$F17,AB$7&lt;=$F17+$G17-1),2,IF(AND($C17="Milestone",AB$7&gt;=$F17,AB$7&lt;=$F17+$G17-1),1,""))</f>
        <v/>
      </c>
      <c r="AC17" s="71" t="str">
        <f aca="false">IF(AND($C17="Goal",AC$7&gt;=$F17,AC$7&lt;=$F17+$G17-1),2,IF(AND($C17="Milestone",AC$7&gt;=$F17,AC$7&lt;=$F17+$G17-1),1,""))</f>
        <v/>
      </c>
      <c r="AD17" s="71" t="str">
        <f aca="false">IF(AND($C17="Goal",AD$7&gt;=$F17,AD$7&lt;=$F17+$G17-1),2,IF(AND($C17="Milestone",AD$7&gt;=$F17,AD$7&lt;=$F17+$G17-1),1,""))</f>
        <v/>
      </c>
      <c r="AE17" s="71" t="str">
        <f aca="false">IF(AND($C17="Goal",AE$7&gt;=$F17,AE$7&lt;=$F17+$G17-1),2,IF(AND($C17="Milestone",AE$7&gt;=$F17,AE$7&lt;=$F17+$G17-1),1,""))</f>
        <v/>
      </c>
      <c r="AF17" s="71" t="str">
        <f aca="false">IF(AND($C17="Goal",AF$7&gt;=$F17,AF$7&lt;=$F17+$G17-1),2,IF(AND($C17="Milestone",AF$7&gt;=$F17,AF$7&lt;=$F17+$G17-1),1,""))</f>
        <v/>
      </c>
      <c r="AG17" s="71" t="str">
        <f aca="false">IF(AND($C17="Goal",AG$7&gt;=$F17,AG$7&lt;=$F17+$G17-1),2,IF(AND($C17="Milestone",AG$7&gt;=$F17,AG$7&lt;=$F17+$G17-1),1,""))</f>
        <v/>
      </c>
      <c r="AH17" s="71" t="str">
        <f aca="false">IF(AND($C17="Goal",AH$7&gt;=$F17,AH$7&lt;=$F17+$G17-1),2,IF(AND($C17="Milestone",AH$7&gt;=$F17,AH$7&lt;=$F17+$G17-1),1,""))</f>
        <v/>
      </c>
      <c r="AI17" s="71" t="str">
        <f aca="false">IF(AND($C17="Goal",AI$7&gt;=$F17,AI$7&lt;=$F17+$G17-1),2,IF(AND($C17="Milestone",AI$7&gt;=$F17,AI$7&lt;=$F17+$G17-1),1,""))</f>
        <v/>
      </c>
      <c r="AJ17" s="71" t="str">
        <f aca="false">IF(AND($C17="Goal",AJ$7&gt;=$F17,AJ$7&lt;=$F17+$G17-1),2,IF(AND($C17="Milestone",AJ$7&gt;=$F17,AJ$7&lt;=$F17+$G17-1),1,""))</f>
        <v/>
      </c>
      <c r="AK17" s="71" t="str">
        <f aca="false">IF(AND($C17="Goal",AK$7&gt;=$F17,AK$7&lt;=$F17+$G17-1),2,IF(AND($C17="Milestone",AK$7&gt;=$F17,AK$7&lt;=$F17+$G17-1),1,""))</f>
        <v/>
      </c>
      <c r="AL17" s="71" t="str">
        <f aca="false">IF(AND($C17="Goal",AL$7&gt;=$F17,AL$7&lt;=$F17+$G17-1),2,IF(AND($C17="Milestone",AL$7&gt;=$F17,AL$7&lt;=$F17+$G17-1),1,""))</f>
        <v/>
      </c>
      <c r="AM17" s="71" t="str">
        <f aca="false">IF(AND($C17="Goal",AM$7&gt;=$F17,AM$7&lt;=$F17+$G17-1),2,IF(AND($C17="Milestone",AM$7&gt;=$F17,AM$7&lt;=$F17+$G17-1),1,""))</f>
        <v/>
      </c>
      <c r="AN17" s="71" t="str">
        <f aca="false">IF(AND($C17="Goal",AN$7&gt;=$F17,AN$7&lt;=$F17+$G17-1),2,IF(AND($C17="Milestone",AN$7&gt;=$F17,AN$7&lt;=$F17+$G17-1),1,""))</f>
        <v/>
      </c>
      <c r="AO17" s="71" t="str">
        <f aca="false">IF(AND($C17="Goal",AO$7&gt;=$F17,AO$7&lt;=$F17+$G17-1),2,IF(AND($C17="Milestone",AO$7&gt;=$F17,AO$7&lt;=$F17+$G17-1),1,""))</f>
        <v/>
      </c>
      <c r="AP17" s="71" t="str">
        <f aca="false">IF(AND($C17="Goal",AP$7&gt;=$F17,AP$7&lt;=$F17+$G17-1),2,IF(AND($C17="Milestone",AP$7&gt;=$F17,AP$7&lt;=$F17+$G17-1),1,""))</f>
        <v/>
      </c>
      <c r="AQ17" s="71" t="str">
        <f aca="false">IF(AND($C17="Goal",AQ$7&gt;=$F17,AQ$7&lt;=$F17+$G17-1),2,IF(AND($C17="Milestone",AQ$7&gt;=$F17,AQ$7&lt;=$F17+$G17-1),1,""))</f>
        <v/>
      </c>
      <c r="AR17" s="71" t="str">
        <f aca="false">IF(AND($C17="Goal",AR$7&gt;=$F17,AR$7&lt;=$F17+$G17-1),2,IF(AND($C17="Milestone",AR$7&gt;=$F17,AR$7&lt;=$F17+$G17-1),1,""))</f>
        <v/>
      </c>
      <c r="AS17" s="71" t="str">
        <f aca="false">IF(AND($C17="Goal",AS$7&gt;=$F17,AS$7&lt;=$F17+$G17-1),2,IF(AND($C17="Milestone",AS$7&gt;=$F17,AS$7&lt;=$F17+$G17-1),1,""))</f>
        <v/>
      </c>
      <c r="AT17" s="71" t="str">
        <f aca="false">IF(AND($C17="Goal",AT$7&gt;=$F17,AT$7&lt;=$F17+$G17-1),2,IF(AND($C17="Milestone",AT$7&gt;=$F17,AT$7&lt;=$F17+$G17-1),1,""))</f>
        <v/>
      </c>
      <c r="AU17" s="71" t="str">
        <f aca="false">IF(AND($C17="Goal",AU$7&gt;=$F17,AU$7&lt;=$F17+$G17-1),2,IF(AND($C17="Milestone",AU$7&gt;=$F17,AU$7&lt;=$F17+$G17-1),1,""))</f>
        <v/>
      </c>
      <c r="AV17" s="71" t="str">
        <f aca="false">IF(AND($C17="Goal",AV$7&gt;=$F17,AV$7&lt;=$F17+$G17-1),2,IF(AND($C17="Milestone",AV$7&gt;=$F17,AV$7&lt;=$F17+$G17-1),1,""))</f>
        <v/>
      </c>
      <c r="AW17" s="71" t="str">
        <f aca="false">IF(AND($C17="Goal",AW$7&gt;=$F17,AW$7&lt;=$F17+$G17-1),2,IF(AND($C17="Milestone",AW$7&gt;=$F17,AW$7&lt;=$F17+$G17-1),1,""))</f>
        <v/>
      </c>
      <c r="AX17" s="71" t="str">
        <f aca="false">IF(AND($C17="Goal",AX$7&gt;=$F17,AX$7&lt;=$F17+$G17-1),2,IF(AND($C17="Milestone",AX$7&gt;=$F17,AX$7&lt;=$F17+$G17-1),1,""))</f>
        <v/>
      </c>
      <c r="AY17" s="71" t="str">
        <f aca="false">IF(AND($C17="Goal",AY$7&gt;=$F17,AY$7&lt;=$F17+$G17-1),2,IF(AND($C17="Milestone",AY$7&gt;=$F17,AY$7&lt;=$F17+$G17-1),1,""))</f>
        <v/>
      </c>
      <c r="AZ17" s="71" t="str">
        <f aca="false">IF(AND($C17="Goal",AZ$7&gt;=$F17,AZ$7&lt;=$F17+$G17-1),2,IF(AND($C17="Milestone",AZ$7&gt;=$F17,AZ$7&lt;=$F17+$G17-1),1,""))</f>
        <v/>
      </c>
      <c r="BA17" s="71" t="str">
        <f aca="false">IF(AND($C17="Goal",BA$7&gt;=$F17,BA$7&lt;=$F17+$G17-1),2,IF(AND($C17="Milestone",BA$7&gt;=$F17,BA$7&lt;=$F17+$G17-1),1,""))</f>
        <v/>
      </c>
      <c r="BB17" s="71" t="str">
        <f aca="false">IF(AND($C17="Goal",BB$7&gt;=$F17,BB$7&lt;=$F17+$G17-1),2,IF(AND($C17="Milestone",BB$7&gt;=$F17,BB$7&lt;=$F17+$G17-1),1,""))</f>
        <v/>
      </c>
      <c r="BC17" s="71" t="str">
        <f aca="false">IF(AND($C17="Goal",BC$7&gt;=$F17,BC$7&lt;=$F17+$G17-1),2,IF(AND($C17="Milestone",BC$7&gt;=$F17,BC$7&lt;=$F17+$G17-1),1,""))</f>
        <v/>
      </c>
      <c r="BD17" s="71" t="str">
        <f aca="false">IF(AND($C17="Goal",BD$7&gt;=$F17,BD$7&lt;=$F17+$G17-1),2,IF(AND($C17="Milestone",BD$7&gt;=$F17,BD$7&lt;=$F17+$G17-1),1,""))</f>
        <v/>
      </c>
      <c r="BE17" s="71" t="str">
        <f aca="false">IF(AND($C17="Goal",BE$7&gt;=$F17,BE$7&lt;=$F17+$G17-1),2,IF(AND($C17="Milestone",BE$7&gt;=$F17,BE$7&lt;=$F17+$G17-1),1,""))</f>
        <v/>
      </c>
      <c r="BF17" s="71" t="str">
        <f aca="false">IF(AND($C17="Goal",BF$7&gt;=$F17,BF$7&lt;=$F17+$G17-1),2,IF(AND($C17="Milestone",BF$7&gt;=$F17,BF$7&lt;=$F17+$G17-1),1,""))</f>
        <v/>
      </c>
      <c r="BG17" s="71" t="str">
        <f aca="false">IF(AND($C17="Goal",BG$7&gt;=$F17,BG$7&lt;=$F17+$G17-1),2,IF(AND($C17="Milestone",BG$7&gt;=$F17,BG$7&lt;=$F17+$G17-1),1,""))</f>
        <v/>
      </c>
      <c r="BH17" s="71" t="str">
        <f aca="false">IF(AND($C17="Goal",BH$7&gt;=$F17,BH$7&lt;=$F17+$G17-1),2,IF(AND($C17="Milestone",BH$7&gt;=$F17,BH$7&lt;=$F17+$G17-1),1,""))</f>
        <v/>
      </c>
      <c r="BI17" s="71" t="str">
        <f aca="false">IF(AND($C17="Goal",BI$7&gt;=$F17,BI$7&lt;=$F17+$G17-1),2,IF(AND($C17="Milestone",BI$7&gt;=$F17,BI$7&lt;=$F17+$G17-1),1,""))</f>
        <v/>
      </c>
      <c r="BJ17" s="71" t="str">
        <f aca="false">IF(AND($C17="Goal",BJ$7&gt;=$F17,BJ$7&lt;=$F17+$G17-1),2,IF(AND($C17="Milestone",BJ$7&gt;=$F17,BJ$7&lt;=$F17+$G17-1),1,""))</f>
        <v/>
      </c>
      <c r="BK17" s="71" t="str">
        <f aca="false">IF(AND($C17="Goal",BK$7&gt;=$F17,BK$7&lt;=$F17+$G17-1),2,IF(AND($C17="Milestone",BK$7&gt;=$F17,BK$7&lt;=$F17+$G17-1),1,""))</f>
        <v/>
      </c>
      <c r="BL17" s="71" t="str">
        <f aca="false">IF(AND($C17="Goal",BL$7&gt;=$F17,BL$7&lt;=$F17+$G17-1),2,IF(AND($C17="Milestone",BL$7&gt;=$F17,BL$7&lt;=$F17+$G17-1),1,""))</f>
        <v/>
      </c>
    </row>
    <row r="18" s="25" customFormat="true" ht="39.75" hidden="false" customHeight="true" outlineLevel="0" collapsed="false">
      <c r="A18" s="15"/>
      <c r="B18" s="77" t="s">
        <v>30</v>
      </c>
      <c r="C18" s="67" t="s">
        <v>23</v>
      </c>
      <c r="D18" s="67" t="s">
        <v>26</v>
      </c>
      <c r="E18" s="68" t="n">
        <v>1</v>
      </c>
      <c r="F18" s="69" t="n">
        <v>45919</v>
      </c>
      <c r="G18" s="70" t="n">
        <v>7</v>
      </c>
      <c r="H18" s="67"/>
      <c r="I18" s="71" t="str">
        <f aca="false">IF(AND($C18="Goal",I$7&gt;=$F18,I$7&lt;=$F18+$G18-1),2,IF(AND($C18="Milestone",I$7&gt;=$F18,I$7&lt;=$F18+$G18-1),1,""))</f>
        <v/>
      </c>
      <c r="J18" s="71" t="str">
        <f aca="false">IF(AND($C18="Goal",J$7&gt;=$F18,J$7&lt;=$F18+$G18-1),2,IF(AND($C18="Milestone",J$7&gt;=$F18,J$7&lt;=$F18+$G18-1),1,""))</f>
        <v/>
      </c>
      <c r="K18" s="71" t="str">
        <f aca="false">IF(AND($C18="Goal",K$7&gt;=$F18,K$7&lt;=$F18+$G18-1),2,IF(AND($C18="Milestone",K$7&gt;=$F18,K$7&lt;=$F18+$G18-1),1,""))</f>
        <v/>
      </c>
      <c r="L18" s="71" t="str">
        <f aca="false">IF(AND($C18="Goal",L$7&gt;=$F18,L$7&lt;=$F18+$G18-1),2,IF(AND($C18="Milestone",L$7&gt;=$F18,L$7&lt;=$F18+$G18-1),1,""))</f>
        <v/>
      </c>
      <c r="M18" s="71" t="str">
        <f aca="false">IF(AND($C18="Goal",M$7&gt;=$F18,M$7&lt;=$F18+$G18-1),2,IF(AND($C18="Milestone",M$7&gt;=$F18,M$7&lt;=$F18+$G18-1),1,""))</f>
        <v/>
      </c>
      <c r="N18" s="71" t="str">
        <f aca="false">IF(AND($C18="Goal",N$7&gt;=$F18,N$7&lt;=$F18+$G18-1),2,IF(AND($C18="Milestone",N$7&gt;=$F18,N$7&lt;=$F18+$G18-1),1,""))</f>
        <v/>
      </c>
      <c r="O18" s="71" t="str">
        <f aca="false">IF(AND($C18="Goal",O$7&gt;=$F18,O$7&lt;=$F18+$G18-1),2,IF(AND($C18="Milestone",O$7&gt;=$F18,O$7&lt;=$F18+$G18-1),1,""))</f>
        <v/>
      </c>
      <c r="P18" s="71" t="str">
        <f aca="false">IF(AND($C18="Goal",P$7&gt;=$F18,P$7&lt;=$F18+$G18-1),2,IF(AND($C18="Milestone",P$7&gt;=$F18,P$7&lt;=$F18+$G18-1),1,""))</f>
        <v/>
      </c>
      <c r="Q18" s="71" t="str">
        <f aca="false">IF(AND($C18="Goal",Q$7&gt;=$F18,Q$7&lt;=$F18+$G18-1),2,IF(AND($C18="Milestone",Q$7&gt;=$F18,Q$7&lt;=$F18+$G18-1),1,""))</f>
        <v/>
      </c>
      <c r="R18" s="71" t="str">
        <f aca="false">IF(AND($C18="Goal",R$7&gt;=$F18,R$7&lt;=$F18+$G18-1),2,IF(AND($C18="Milestone",R$7&gt;=$F18,R$7&lt;=$F18+$G18-1),1,""))</f>
        <v/>
      </c>
      <c r="S18" s="71" t="str">
        <f aca="false">IF(AND($C18="Goal",S$7&gt;=$F18,S$7&lt;=$F18+$G18-1),2,IF(AND($C18="Milestone",S$7&gt;=$F18,S$7&lt;=$F18+$G18-1),1,""))</f>
        <v/>
      </c>
      <c r="T18" s="71" t="str">
        <f aca="false">IF(AND($C18="Goal",T$7&gt;=$F18,T$7&lt;=$F18+$G18-1),2,IF(AND($C18="Milestone",T$7&gt;=$F18,T$7&lt;=$F18+$G18-1),1,""))</f>
        <v/>
      </c>
      <c r="U18" s="71" t="str">
        <f aca="false">IF(AND($C18="Goal",U$7&gt;=$F18,U$7&lt;=$F18+$G18-1),2,IF(AND($C18="Milestone",U$7&gt;=$F18,U$7&lt;=$F18+$G18-1),1,""))</f>
        <v/>
      </c>
      <c r="V18" s="71" t="str">
        <f aca="false">IF(AND($C18="Goal",V$7&gt;=$F18,V$7&lt;=$F18+$G18-1),2,IF(AND($C18="Milestone",V$7&gt;=$F18,V$7&lt;=$F18+$G18-1),1,""))</f>
        <v/>
      </c>
      <c r="W18" s="71" t="str">
        <f aca="false">IF(AND($C18="Goal",W$7&gt;=$F18,W$7&lt;=$F18+$G18-1),2,IF(AND($C18="Milestone",W$7&gt;=$F18,W$7&lt;=$F18+$G18-1),1,""))</f>
        <v/>
      </c>
      <c r="X18" s="71" t="str">
        <f aca="false">IF(AND($C18="Goal",X$7&gt;=$F18,X$7&lt;=$F18+$G18-1),2,IF(AND($C18="Milestone",X$7&gt;=$F18,X$7&lt;=$F18+$G18-1),1,""))</f>
        <v/>
      </c>
      <c r="Y18" s="71" t="str">
        <f aca="false">IF(AND($C18="Goal",Y$7&gt;=$F18,Y$7&lt;=$F18+$G18-1),2,IF(AND($C18="Milestone",Y$7&gt;=$F18,Y$7&lt;=$F18+$G18-1),1,""))</f>
        <v/>
      </c>
      <c r="Z18" s="71" t="str">
        <f aca="false">IF(AND($C18="Goal",Z$7&gt;=$F18,Z$7&lt;=$F18+$G18-1),2,IF(AND($C18="Milestone",Z$7&gt;=$F18,Z$7&lt;=$F18+$G18-1),1,""))</f>
        <v/>
      </c>
      <c r="AA18" s="71" t="str">
        <f aca="false">IF(AND($C18="Goal",AA$7&gt;=$F18,AA$7&lt;=$F18+$G18-1),2,IF(AND($C18="Milestone",AA$7&gt;=$F18,AA$7&lt;=$F18+$G18-1),1,""))</f>
        <v/>
      </c>
      <c r="AB18" s="71" t="str">
        <f aca="false">IF(AND($C18="Goal",AB$7&gt;=$F18,AB$7&lt;=$F18+$G18-1),2,IF(AND($C18="Milestone",AB$7&gt;=$F18,AB$7&lt;=$F18+$G18-1),1,""))</f>
        <v/>
      </c>
      <c r="AC18" s="71" t="str">
        <f aca="false">IF(AND($C18="Goal",AC$7&gt;=$F18,AC$7&lt;=$F18+$G18-1),2,IF(AND($C18="Milestone",AC$7&gt;=$F18,AC$7&lt;=$F18+$G18-1),1,""))</f>
        <v/>
      </c>
      <c r="AD18" s="71" t="str">
        <f aca="false">IF(AND($C18="Goal",AD$7&gt;=$F18,AD$7&lt;=$F18+$G18-1),2,IF(AND($C18="Milestone",AD$7&gt;=$F18,AD$7&lt;=$F18+$G18-1),1,""))</f>
        <v/>
      </c>
      <c r="AE18" s="71" t="str">
        <f aca="false">IF(AND($C18="Goal",AE$7&gt;=$F18,AE$7&lt;=$F18+$G18-1),2,IF(AND($C18="Milestone",AE$7&gt;=$F18,AE$7&lt;=$F18+$G18-1),1,""))</f>
        <v/>
      </c>
      <c r="AF18" s="71" t="str">
        <f aca="false">IF(AND($C18="Goal",AF$7&gt;=$F18,AF$7&lt;=$F18+$G18-1),2,IF(AND($C18="Milestone",AF$7&gt;=$F18,AF$7&lt;=$F18+$G18-1),1,""))</f>
        <v/>
      </c>
      <c r="AG18" s="71" t="str">
        <f aca="false">IF(AND($C18="Goal",AG$7&gt;=$F18,AG$7&lt;=$F18+$G18-1),2,IF(AND($C18="Milestone",AG$7&gt;=$F18,AG$7&lt;=$F18+$G18-1),1,""))</f>
        <v/>
      </c>
      <c r="AH18" s="71" t="str">
        <f aca="false">IF(AND($C18="Goal",AH$7&gt;=$F18,AH$7&lt;=$F18+$G18-1),2,IF(AND($C18="Milestone",AH$7&gt;=$F18,AH$7&lt;=$F18+$G18-1),1,""))</f>
        <v/>
      </c>
      <c r="AI18" s="71" t="str">
        <f aca="false">IF(AND($C18="Goal",AI$7&gt;=$F18,AI$7&lt;=$F18+$G18-1),2,IF(AND($C18="Milestone",AI$7&gt;=$F18,AI$7&lt;=$F18+$G18-1),1,""))</f>
        <v/>
      </c>
      <c r="AJ18" s="71" t="str">
        <f aca="false">IF(AND($C18="Goal",AJ$7&gt;=$F18,AJ$7&lt;=$F18+$G18-1),2,IF(AND($C18="Milestone",AJ$7&gt;=$F18,AJ$7&lt;=$F18+$G18-1),1,""))</f>
        <v/>
      </c>
      <c r="AK18" s="71" t="str">
        <f aca="false">IF(AND($C18="Goal",AK$7&gt;=$F18,AK$7&lt;=$F18+$G18-1),2,IF(AND($C18="Milestone",AK$7&gt;=$F18,AK$7&lt;=$F18+$G18-1),1,""))</f>
        <v/>
      </c>
      <c r="AL18" s="71" t="str">
        <f aca="false">IF(AND($C18="Goal",AL$7&gt;=$F18,AL$7&lt;=$F18+$G18-1),2,IF(AND($C18="Milestone",AL$7&gt;=$F18,AL$7&lt;=$F18+$G18-1),1,""))</f>
        <v/>
      </c>
      <c r="AM18" s="71" t="str">
        <f aca="false">IF(AND($C18="Goal",AM$7&gt;=$F18,AM$7&lt;=$F18+$G18-1),2,IF(AND($C18="Milestone",AM$7&gt;=$F18,AM$7&lt;=$F18+$G18-1),1,""))</f>
        <v/>
      </c>
      <c r="AN18" s="71" t="str">
        <f aca="false">IF(AND($C18="Goal",AN$7&gt;=$F18,AN$7&lt;=$F18+$G18-1),2,IF(AND($C18="Milestone",AN$7&gt;=$F18,AN$7&lt;=$F18+$G18-1),1,""))</f>
        <v/>
      </c>
      <c r="AO18" s="71" t="str">
        <f aca="false">IF(AND($C18="Goal",AO$7&gt;=$F18,AO$7&lt;=$F18+$G18-1),2,IF(AND($C18="Milestone",AO$7&gt;=$F18,AO$7&lt;=$F18+$G18-1),1,""))</f>
        <v/>
      </c>
      <c r="AP18" s="71" t="str">
        <f aca="false">IF(AND($C18="Goal",AP$7&gt;=$F18,AP$7&lt;=$F18+$G18-1),2,IF(AND($C18="Milestone",AP$7&gt;=$F18,AP$7&lt;=$F18+$G18-1),1,""))</f>
        <v/>
      </c>
      <c r="AQ18" s="71" t="str">
        <f aca="false">IF(AND($C18="Goal",AQ$7&gt;=$F18,AQ$7&lt;=$F18+$G18-1),2,IF(AND($C18="Milestone",AQ$7&gt;=$F18,AQ$7&lt;=$F18+$G18-1),1,""))</f>
        <v/>
      </c>
      <c r="AR18" s="71" t="str">
        <f aca="false">IF(AND($C18="Goal",AR$7&gt;=$F18,AR$7&lt;=$F18+$G18-1),2,IF(AND($C18="Milestone",AR$7&gt;=$F18,AR$7&lt;=$F18+$G18-1),1,""))</f>
        <v/>
      </c>
      <c r="AS18" s="71" t="str">
        <f aca="false">IF(AND($C18="Goal",AS$7&gt;=$F18,AS$7&lt;=$F18+$G18-1),2,IF(AND($C18="Milestone",AS$7&gt;=$F18,AS$7&lt;=$F18+$G18-1),1,""))</f>
        <v/>
      </c>
      <c r="AT18" s="71" t="str">
        <f aca="false">IF(AND($C18="Goal",AT$7&gt;=$F18,AT$7&lt;=$F18+$G18-1),2,IF(AND($C18="Milestone",AT$7&gt;=$F18,AT$7&lt;=$F18+$G18-1),1,""))</f>
        <v/>
      </c>
      <c r="AU18" s="71" t="str">
        <f aca="false">IF(AND($C18="Goal",AU$7&gt;=$F18,AU$7&lt;=$F18+$G18-1),2,IF(AND($C18="Milestone",AU$7&gt;=$F18,AU$7&lt;=$F18+$G18-1),1,""))</f>
        <v/>
      </c>
      <c r="AV18" s="71" t="str">
        <f aca="false">IF(AND($C18="Goal",AV$7&gt;=$F18,AV$7&lt;=$F18+$G18-1),2,IF(AND($C18="Milestone",AV$7&gt;=$F18,AV$7&lt;=$F18+$G18-1),1,""))</f>
        <v/>
      </c>
      <c r="AW18" s="71" t="str">
        <f aca="false">IF(AND($C18="Goal",AW$7&gt;=$F18,AW$7&lt;=$F18+$G18-1),2,IF(AND($C18="Milestone",AW$7&gt;=$F18,AW$7&lt;=$F18+$G18-1),1,""))</f>
        <v/>
      </c>
      <c r="AX18" s="71" t="str">
        <f aca="false">IF(AND($C18="Goal",AX$7&gt;=$F18,AX$7&lt;=$F18+$G18-1),2,IF(AND($C18="Milestone",AX$7&gt;=$F18,AX$7&lt;=$F18+$G18-1),1,""))</f>
        <v/>
      </c>
      <c r="AY18" s="71" t="str">
        <f aca="false">IF(AND($C18="Goal",AY$7&gt;=$F18,AY$7&lt;=$F18+$G18-1),2,IF(AND($C18="Milestone",AY$7&gt;=$F18,AY$7&lt;=$F18+$G18-1),1,""))</f>
        <v/>
      </c>
      <c r="AZ18" s="71" t="str">
        <f aca="false">IF(AND($C18="Goal",AZ$7&gt;=$F18,AZ$7&lt;=$F18+$G18-1),2,IF(AND($C18="Milestone",AZ$7&gt;=$F18,AZ$7&lt;=$F18+$G18-1),1,""))</f>
        <v/>
      </c>
      <c r="BA18" s="71" t="str">
        <f aca="false">IF(AND($C18="Goal",BA$7&gt;=$F18,BA$7&lt;=$F18+$G18-1),2,IF(AND($C18="Milestone",BA$7&gt;=$F18,BA$7&lt;=$F18+$G18-1),1,""))</f>
        <v/>
      </c>
      <c r="BB18" s="71" t="str">
        <f aca="false">IF(AND($C18="Goal",BB$7&gt;=$F18,BB$7&lt;=$F18+$G18-1),2,IF(AND($C18="Milestone",BB$7&gt;=$F18,BB$7&lt;=$F18+$G18-1),1,""))</f>
        <v/>
      </c>
      <c r="BC18" s="71" t="str">
        <f aca="false">IF(AND($C18="Goal",BC$7&gt;=$F18,BC$7&lt;=$F18+$G18-1),2,IF(AND($C18="Milestone",BC$7&gt;=$F18,BC$7&lt;=$F18+$G18-1),1,""))</f>
        <v/>
      </c>
      <c r="BD18" s="71" t="str">
        <f aca="false">IF(AND($C18="Goal",BD$7&gt;=$F18,BD$7&lt;=$F18+$G18-1),2,IF(AND($C18="Milestone",BD$7&gt;=$F18,BD$7&lt;=$F18+$G18-1),1,""))</f>
        <v/>
      </c>
      <c r="BE18" s="71" t="str">
        <f aca="false">IF(AND($C18="Goal",BE$7&gt;=$F18,BE$7&lt;=$F18+$G18-1),2,IF(AND($C18="Milestone",BE$7&gt;=$F18,BE$7&lt;=$F18+$G18-1),1,""))</f>
        <v/>
      </c>
      <c r="BF18" s="71" t="str">
        <f aca="false">IF(AND($C18="Goal",BF$7&gt;=$F18,BF$7&lt;=$F18+$G18-1),2,IF(AND($C18="Milestone",BF$7&gt;=$F18,BF$7&lt;=$F18+$G18-1),1,""))</f>
        <v/>
      </c>
      <c r="BG18" s="71" t="str">
        <f aca="false">IF(AND($C18="Goal",BG$7&gt;=$F18,BG$7&lt;=$F18+$G18-1),2,IF(AND($C18="Milestone",BG$7&gt;=$F18,BG$7&lt;=$F18+$G18-1),1,""))</f>
        <v/>
      </c>
      <c r="BH18" s="71" t="str">
        <f aca="false">IF(AND($C18="Goal",BH$7&gt;=$F18,BH$7&lt;=$F18+$G18-1),2,IF(AND($C18="Milestone",BH$7&gt;=$F18,BH$7&lt;=$F18+$G18-1),1,""))</f>
        <v/>
      </c>
      <c r="BI18" s="71" t="str">
        <f aca="false">IF(AND($C18="Goal",BI$7&gt;=$F18,BI$7&lt;=$F18+$G18-1),2,IF(AND($C18="Milestone",BI$7&gt;=$F18,BI$7&lt;=$F18+$G18-1),1,""))</f>
        <v/>
      </c>
      <c r="BJ18" s="71" t="str">
        <f aca="false">IF(AND($C18="Goal",BJ$7&gt;=$F18,BJ$7&lt;=$F18+$G18-1),2,IF(AND($C18="Milestone",BJ$7&gt;=$F18,BJ$7&lt;=$F18+$G18-1),1,""))</f>
        <v/>
      </c>
      <c r="BK18" s="71" t="str">
        <f aca="false">IF(AND($C18="Goal",BK$7&gt;=$F18,BK$7&lt;=$F18+$G18-1),2,IF(AND($C18="Milestone",BK$7&gt;=$F18,BK$7&lt;=$F18+$G18-1),1,""))</f>
        <v/>
      </c>
      <c r="BL18" s="71" t="str">
        <f aca="false">IF(AND($C18="Goal",BL$7&gt;=$F18,BL$7&lt;=$F18+$G18-1),2,IF(AND($C18="Milestone",BL$7&gt;=$F18,BL$7&lt;=$F18+$G18-1),1,""))</f>
        <v/>
      </c>
    </row>
    <row r="19" s="25" customFormat="true" ht="39.75" hidden="false" customHeight="true" outlineLevel="0" collapsed="false">
      <c r="A19" s="15"/>
      <c r="B19" s="73" t="s">
        <v>31</v>
      </c>
      <c r="C19" s="67" t="s">
        <v>23</v>
      </c>
      <c r="D19" s="67" t="s">
        <v>24</v>
      </c>
      <c r="E19" s="68" t="n">
        <v>1</v>
      </c>
      <c r="F19" s="69" t="n">
        <v>45919</v>
      </c>
      <c r="G19" s="70" t="n">
        <v>7</v>
      </c>
      <c r="H19" s="67"/>
      <c r="I19" s="71" t="str">
        <f aca="false">IF(AND($C19="Goal",I$7&gt;=$F19,I$7&lt;=$F19+$G19-1),2,IF(AND($C19="Milestone",I$7&gt;=$F19,I$7&lt;=$F19+$G19-1),1,""))</f>
        <v/>
      </c>
      <c r="J19" s="71" t="str">
        <f aca="false">IF(AND($C19="Goal",J$7&gt;=$F19,J$7&lt;=$F19+$G19-1),2,IF(AND($C19="Milestone",J$7&gt;=$F19,J$7&lt;=$F19+$G19-1),1,""))</f>
        <v/>
      </c>
      <c r="K19" s="71" t="str">
        <f aca="false">IF(AND($C19="Goal",K$7&gt;=$F19,K$7&lt;=$F19+$G19-1),2,IF(AND($C19="Milestone",K$7&gt;=$F19,K$7&lt;=$F19+$G19-1),1,""))</f>
        <v/>
      </c>
      <c r="L19" s="71" t="str">
        <f aca="false">IF(AND($C19="Goal",L$7&gt;=$F19,L$7&lt;=$F19+$G19-1),2,IF(AND($C19="Milestone",L$7&gt;=$F19,L$7&lt;=$F19+$G19-1),1,""))</f>
        <v/>
      </c>
      <c r="M19" s="71" t="str">
        <f aca="false">IF(AND($C19="Goal",M$7&gt;=$F19,M$7&lt;=$F19+$G19-1),2,IF(AND($C19="Milestone",M$7&gt;=$F19,M$7&lt;=$F19+$G19-1),1,""))</f>
        <v/>
      </c>
      <c r="N19" s="71" t="str">
        <f aca="false">IF(AND($C19="Goal",N$7&gt;=$F19,N$7&lt;=$F19+$G19-1),2,IF(AND($C19="Milestone",N$7&gt;=$F19,N$7&lt;=$F19+$G19-1),1,""))</f>
        <v/>
      </c>
      <c r="O19" s="71" t="str">
        <f aca="false">IF(AND($C19="Goal",O$7&gt;=$F19,O$7&lt;=$F19+$G19-1),2,IF(AND($C19="Milestone",O$7&gt;=$F19,O$7&lt;=$F19+$G19-1),1,""))</f>
        <v/>
      </c>
      <c r="P19" s="71" t="str">
        <f aca="false">IF(AND($C19="Goal",P$7&gt;=$F19,P$7&lt;=$F19+$G19-1),2,IF(AND($C19="Milestone",P$7&gt;=$F19,P$7&lt;=$F19+$G19-1),1,""))</f>
        <v/>
      </c>
      <c r="Q19" s="71" t="str">
        <f aca="false">IF(AND($C19="Goal",Q$7&gt;=$F19,Q$7&lt;=$F19+$G19-1),2,IF(AND($C19="Milestone",Q$7&gt;=$F19,Q$7&lt;=$F19+$G19-1),1,""))</f>
        <v/>
      </c>
      <c r="R19" s="71" t="str">
        <f aca="false">IF(AND($C19="Goal",R$7&gt;=$F19,R$7&lt;=$F19+$G19-1),2,IF(AND($C19="Milestone",R$7&gt;=$F19,R$7&lt;=$F19+$G19-1),1,""))</f>
        <v/>
      </c>
      <c r="S19" s="71" t="str">
        <f aca="false">IF(AND($C19="Goal",S$7&gt;=$F19,S$7&lt;=$F19+$G19-1),2,IF(AND($C19="Milestone",S$7&gt;=$F19,S$7&lt;=$F19+$G19-1),1,""))</f>
        <v/>
      </c>
      <c r="T19" s="71" t="str">
        <f aca="false">IF(AND($C19="Goal",T$7&gt;=$F19,T$7&lt;=$F19+$G19-1),2,IF(AND($C19="Milestone",T$7&gt;=$F19,T$7&lt;=$F19+$G19-1),1,""))</f>
        <v/>
      </c>
      <c r="U19" s="71" t="str">
        <f aca="false">IF(AND($C19="Goal",U$7&gt;=$F19,U$7&lt;=$F19+$G19-1),2,IF(AND($C19="Milestone",U$7&gt;=$F19,U$7&lt;=$F19+$G19-1),1,""))</f>
        <v/>
      </c>
      <c r="V19" s="71" t="str">
        <f aca="false">IF(AND($C19="Goal",V$7&gt;=$F19,V$7&lt;=$F19+$G19-1),2,IF(AND($C19="Milestone",V$7&gt;=$F19,V$7&lt;=$F19+$G19-1),1,""))</f>
        <v/>
      </c>
      <c r="W19" s="71" t="str">
        <f aca="false">IF(AND($C19="Goal",W$7&gt;=$F19,W$7&lt;=$F19+$G19-1),2,IF(AND($C19="Milestone",W$7&gt;=$F19,W$7&lt;=$F19+$G19-1),1,""))</f>
        <v/>
      </c>
      <c r="X19" s="71" t="str">
        <f aca="false">IF(AND($C19="Goal",X$7&gt;=$F19,X$7&lt;=$F19+$G19-1),2,IF(AND($C19="Milestone",X$7&gt;=$F19,X$7&lt;=$F19+$G19-1),1,""))</f>
        <v/>
      </c>
      <c r="Y19" s="71" t="str">
        <f aca="false">IF(AND($C19="Goal",Y$7&gt;=$F19,Y$7&lt;=$F19+$G19-1),2,IF(AND($C19="Milestone",Y$7&gt;=$F19,Y$7&lt;=$F19+$G19-1),1,""))</f>
        <v/>
      </c>
      <c r="Z19" s="71" t="str">
        <f aca="false">IF(AND($C19="Goal",Z$7&gt;=$F19,Z$7&lt;=$F19+$G19-1),2,IF(AND($C19="Milestone",Z$7&gt;=$F19,Z$7&lt;=$F19+$G19-1),1,""))</f>
        <v/>
      </c>
      <c r="AA19" s="71" t="str">
        <f aca="false">IF(AND($C19="Goal",AA$7&gt;=$F19,AA$7&lt;=$F19+$G19-1),2,IF(AND($C19="Milestone",AA$7&gt;=$F19,AA$7&lt;=$F19+$G19-1),1,""))</f>
        <v/>
      </c>
      <c r="AB19" s="71" t="str">
        <f aca="false">IF(AND($C19="Goal",AB$7&gt;=$F19,AB$7&lt;=$F19+$G19-1),2,IF(AND($C19="Milestone",AB$7&gt;=$F19,AB$7&lt;=$F19+$G19-1),1,""))</f>
        <v/>
      </c>
      <c r="AC19" s="71" t="str">
        <f aca="false">IF(AND($C19="Goal",AC$7&gt;=$F19,AC$7&lt;=$F19+$G19-1),2,IF(AND($C19="Milestone",AC$7&gt;=$F19,AC$7&lt;=$F19+$G19-1),1,""))</f>
        <v/>
      </c>
      <c r="AD19" s="71" t="str">
        <f aca="false">IF(AND($C19="Goal",AD$7&gt;=$F19,AD$7&lt;=$F19+$G19-1),2,IF(AND($C19="Milestone",AD$7&gt;=$F19,AD$7&lt;=$F19+$G19-1),1,""))</f>
        <v/>
      </c>
      <c r="AE19" s="71" t="str">
        <f aca="false">IF(AND($C19="Goal",AE$7&gt;=$F19,AE$7&lt;=$F19+$G19-1),2,IF(AND($C19="Milestone",AE$7&gt;=$F19,AE$7&lt;=$F19+$G19-1),1,""))</f>
        <v/>
      </c>
      <c r="AF19" s="71" t="str">
        <f aca="false">IF(AND($C19="Goal",AF$7&gt;=$F19,AF$7&lt;=$F19+$G19-1),2,IF(AND($C19="Milestone",AF$7&gt;=$F19,AF$7&lt;=$F19+$G19-1),1,""))</f>
        <v/>
      </c>
      <c r="AG19" s="71" t="str">
        <f aca="false">IF(AND($C19="Goal",AG$7&gt;=$F19,AG$7&lt;=$F19+$G19-1),2,IF(AND($C19="Milestone",AG$7&gt;=$F19,AG$7&lt;=$F19+$G19-1),1,""))</f>
        <v/>
      </c>
      <c r="AH19" s="71" t="str">
        <f aca="false">IF(AND($C19="Goal",AH$7&gt;=$F19,AH$7&lt;=$F19+$G19-1),2,IF(AND($C19="Milestone",AH$7&gt;=$F19,AH$7&lt;=$F19+$G19-1),1,""))</f>
        <v/>
      </c>
      <c r="AI19" s="71" t="str">
        <f aca="false">IF(AND($C19="Goal",AI$7&gt;=$F19,AI$7&lt;=$F19+$G19-1),2,IF(AND($C19="Milestone",AI$7&gt;=$F19,AI$7&lt;=$F19+$G19-1),1,""))</f>
        <v/>
      </c>
      <c r="AJ19" s="71" t="str">
        <f aca="false">IF(AND($C19="Goal",AJ$7&gt;=$F19,AJ$7&lt;=$F19+$G19-1),2,IF(AND($C19="Milestone",AJ$7&gt;=$F19,AJ$7&lt;=$F19+$G19-1),1,""))</f>
        <v/>
      </c>
      <c r="AK19" s="71" t="str">
        <f aca="false">IF(AND($C19="Goal",AK$7&gt;=$F19,AK$7&lt;=$F19+$G19-1),2,IF(AND($C19="Milestone",AK$7&gt;=$F19,AK$7&lt;=$F19+$G19-1),1,""))</f>
        <v/>
      </c>
      <c r="AL19" s="71" t="str">
        <f aca="false">IF(AND($C19="Goal",AL$7&gt;=$F19,AL$7&lt;=$F19+$G19-1),2,IF(AND($C19="Milestone",AL$7&gt;=$F19,AL$7&lt;=$F19+$G19-1),1,""))</f>
        <v/>
      </c>
      <c r="AM19" s="71" t="str">
        <f aca="false">IF(AND($C19="Goal",AM$7&gt;=$F19,AM$7&lt;=$F19+$G19-1),2,IF(AND($C19="Milestone",AM$7&gt;=$F19,AM$7&lt;=$F19+$G19-1),1,""))</f>
        <v/>
      </c>
      <c r="AN19" s="71" t="str">
        <f aca="false">IF(AND($C19="Goal",AN$7&gt;=$F19,AN$7&lt;=$F19+$G19-1),2,IF(AND($C19="Milestone",AN$7&gt;=$F19,AN$7&lt;=$F19+$G19-1),1,""))</f>
        <v/>
      </c>
      <c r="AO19" s="71" t="str">
        <f aca="false">IF(AND($C19="Goal",AO$7&gt;=$F19,AO$7&lt;=$F19+$G19-1),2,IF(AND($C19="Milestone",AO$7&gt;=$F19,AO$7&lt;=$F19+$G19-1),1,""))</f>
        <v/>
      </c>
      <c r="AP19" s="71" t="str">
        <f aca="false">IF(AND($C19="Goal",AP$7&gt;=$F19,AP$7&lt;=$F19+$G19-1),2,IF(AND($C19="Milestone",AP$7&gt;=$F19,AP$7&lt;=$F19+$G19-1),1,""))</f>
        <v/>
      </c>
      <c r="AQ19" s="71" t="str">
        <f aca="false">IF(AND($C19="Goal",AQ$7&gt;=$F19,AQ$7&lt;=$F19+$G19-1),2,IF(AND($C19="Milestone",AQ$7&gt;=$F19,AQ$7&lt;=$F19+$G19-1),1,""))</f>
        <v/>
      </c>
      <c r="AR19" s="71" t="str">
        <f aca="false">IF(AND($C19="Goal",AR$7&gt;=$F19,AR$7&lt;=$F19+$G19-1),2,IF(AND($C19="Milestone",AR$7&gt;=$F19,AR$7&lt;=$F19+$G19-1),1,""))</f>
        <v/>
      </c>
      <c r="AS19" s="71" t="str">
        <f aca="false">IF(AND($C19="Goal",AS$7&gt;=$F19,AS$7&lt;=$F19+$G19-1),2,IF(AND($C19="Milestone",AS$7&gt;=$F19,AS$7&lt;=$F19+$G19-1),1,""))</f>
        <v/>
      </c>
      <c r="AT19" s="71" t="str">
        <f aca="false">IF(AND($C19="Goal",AT$7&gt;=$F19,AT$7&lt;=$F19+$G19-1),2,IF(AND($C19="Milestone",AT$7&gt;=$F19,AT$7&lt;=$F19+$G19-1),1,""))</f>
        <v/>
      </c>
      <c r="AU19" s="71" t="str">
        <f aca="false">IF(AND($C19="Goal",AU$7&gt;=$F19,AU$7&lt;=$F19+$G19-1),2,IF(AND($C19="Milestone",AU$7&gt;=$F19,AU$7&lt;=$F19+$G19-1),1,""))</f>
        <v/>
      </c>
      <c r="AV19" s="71" t="str">
        <f aca="false">IF(AND($C19="Goal",AV$7&gt;=$F19,AV$7&lt;=$F19+$G19-1),2,IF(AND($C19="Milestone",AV$7&gt;=$F19,AV$7&lt;=$F19+$G19-1),1,""))</f>
        <v/>
      </c>
      <c r="AW19" s="71" t="str">
        <f aca="false">IF(AND($C19="Goal",AW$7&gt;=$F19,AW$7&lt;=$F19+$G19-1),2,IF(AND($C19="Milestone",AW$7&gt;=$F19,AW$7&lt;=$F19+$G19-1),1,""))</f>
        <v/>
      </c>
      <c r="AX19" s="71" t="str">
        <f aca="false">IF(AND($C19="Goal",AX$7&gt;=$F19,AX$7&lt;=$F19+$G19-1),2,IF(AND($C19="Milestone",AX$7&gt;=$F19,AX$7&lt;=$F19+$G19-1),1,""))</f>
        <v/>
      </c>
      <c r="AY19" s="71" t="str">
        <f aca="false">IF(AND($C19="Goal",AY$7&gt;=$F19,AY$7&lt;=$F19+$G19-1),2,IF(AND($C19="Milestone",AY$7&gt;=$F19,AY$7&lt;=$F19+$G19-1),1,""))</f>
        <v/>
      </c>
      <c r="AZ19" s="71" t="str">
        <f aca="false">IF(AND($C19="Goal",AZ$7&gt;=$F19,AZ$7&lt;=$F19+$G19-1),2,IF(AND($C19="Milestone",AZ$7&gt;=$F19,AZ$7&lt;=$F19+$G19-1),1,""))</f>
        <v/>
      </c>
      <c r="BA19" s="71" t="str">
        <f aca="false">IF(AND($C19="Goal",BA$7&gt;=$F19,BA$7&lt;=$F19+$G19-1),2,IF(AND($C19="Milestone",BA$7&gt;=$F19,BA$7&lt;=$F19+$G19-1),1,""))</f>
        <v/>
      </c>
      <c r="BB19" s="71" t="str">
        <f aca="false">IF(AND($C19="Goal",BB$7&gt;=$F19,BB$7&lt;=$F19+$G19-1),2,IF(AND($C19="Milestone",BB$7&gt;=$F19,BB$7&lt;=$F19+$G19-1),1,""))</f>
        <v/>
      </c>
      <c r="BC19" s="71" t="str">
        <f aca="false">IF(AND($C19="Goal",BC$7&gt;=$F19,BC$7&lt;=$F19+$G19-1),2,IF(AND($C19="Milestone",BC$7&gt;=$F19,BC$7&lt;=$F19+$G19-1),1,""))</f>
        <v/>
      </c>
      <c r="BD19" s="71" t="str">
        <f aca="false">IF(AND($C19="Goal",BD$7&gt;=$F19,BD$7&lt;=$F19+$G19-1),2,IF(AND($C19="Milestone",BD$7&gt;=$F19,BD$7&lt;=$F19+$G19-1),1,""))</f>
        <v/>
      </c>
      <c r="BE19" s="71" t="str">
        <f aca="false">IF(AND($C19="Goal",BE$7&gt;=$F19,BE$7&lt;=$F19+$G19-1),2,IF(AND($C19="Milestone",BE$7&gt;=$F19,BE$7&lt;=$F19+$G19-1),1,""))</f>
        <v/>
      </c>
      <c r="BF19" s="71" t="str">
        <f aca="false">IF(AND($C19="Goal",BF$7&gt;=$F19,BF$7&lt;=$F19+$G19-1),2,IF(AND($C19="Milestone",BF$7&gt;=$F19,BF$7&lt;=$F19+$G19-1),1,""))</f>
        <v/>
      </c>
      <c r="BG19" s="71" t="str">
        <f aca="false">IF(AND($C19="Goal",BG$7&gt;=$F19,BG$7&lt;=$F19+$G19-1),2,IF(AND($C19="Milestone",BG$7&gt;=$F19,BG$7&lt;=$F19+$G19-1),1,""))</f>
        <v/>
      </c>
      <c r="BH19" s="71" t="str">
        <f aca="false">IF(AND($C19="Goal",BH$7&gt;=$F19,BH$7&lt;=$F19+$G19-1),2,IF(AND($C19="Milestone",BH$7&gt;=$F19,BH$7&lt;=$F19+$G19-1),1,""))</f>
        <v/>
      </c>
      <c r="BI19" s="71" t="str">
        <f aca="false">IF(AND($C19="Goal",BI$7&gt;=$F19,BI$7&lt;=$F19+$G19-1),2,IF(AND($C19="Milestone",BI$7&gt;=$F19,BI$7&lt;=$F19+$G19-1),1,""))</f>
        <v/>
      </c>
      <c r="BJ19" s="71" t="str">
        <f aca="false">IF(AND($C19="Goal",BJ$7&gt;=$F19,BJ$7&lt;=$F19+$G19-1),2,IF(AND($C19="Milestone",BJ$7&gt;=$F19,BJ$7&lt;=$F19+$G19-1),1,""))</f>
        <v/>
      </c>
      <c r="BK19" s="71" t="str">
        <f aca="false">IF(AND($C19="Goal",BK$7&gt;=$F19,BK$7&lt;=$F19+$G19-1),2,IF(AND($C19="Milestone",BK$7&gt;=$F19,BK$7&lt;=$F19+$G19-1),1,""))</f>
        <v/>
      </c>
      <c r="BL19" s="71" t="str">
        <f aca="false">IF(AND($C19="Goal",BL$7&gt;=$F19,BL$7&lt;=$F19+$G19-1),2,IF(AND($C19="Milestone",BL$7&gt;=$F19,BL$7&lt;=$F19+$G19-1),1,""))</f>
        <v/>
      </c>
    </row>
    <row r="20" s="25" customFormat="true" ht="39.75" hidden="false" customHeight="true" outlineLevel="0" collapsed="false">
      <c r="A20" s="13"/>
      <c r="B20" s="73" t="s">
        <v>32</v>
      </c>
      <c r="C20" s="67" t="s">
        <v>23</v>
      </c>
      <c r="D20" s="67" t="s">
        <v>21</v>
      </c>
      <c r="E20" s="68" t="n">
        <v>1</v>
      </c>
      <c r="F20" s="69" t="n">
        <v>45925</v>
      </c>
      <c r="G20" s="70" t="n">
        <v>7</v>
      </c>
      <c r="H20" s="67"/>
      <c r="I20" s="71" t="str">
        <f aca="false">IF(AND($C20="Goal",I$7&gt;=$F20,I$7&lt;=$F20+$G20-1),2,IF(AND($C20="Milestone",I$7&gt;=$F20,I$7&lt;=$F20+$G20-1),1,""))</f>
        <v/>
      </c>
      <c r="J20" s="71" t="str">
        <f aca="false">IF(AND($C20="Goal",J$7&gt;=$F20,J$7&lt;=$F20+$G20-1),2,IF(AND($C20="Milestone",J$7&gt;=$F20,J$7&lt;=$F20+$G20-1),1,""))</f>
        <v/>
      </c>
      <c r="K20" s="71" t="str">
        <f aca="false">IF(AND($C20="Goal",K$7&gt;=$F20,K$7&lt;=$F20+$G20-1),2,IF(AND($C20="Milestone",K$7&gt;=$F20,K$7&lt;=$F20+$G20-1),1,""))</f>
        <v/>
      </c>
      <c r="L20" s="71" t="str">
        <f aca="false">IF(AND($C20="Goal",L$7&gt;=$F20,L$7&lt;=$F20+$G20-1),2,IF(AND($C20="Milestone",L$7&gt;=$F20,L$7&lt;=$F20+$G20-1),1,""))</f>
        <v/>
      </c>
      <c r="M20" s="71" t="str">
        <f aca="false">IF(AND($C20="Goal",M$7&gt;=$F20,M$7&lt;=$F20+$G20-1),2,IF(AND($C20="Milestone",M$7&gt;=$F20,M$7&lt;=$F20+$G20-1),1,""))</f>
        <v/>
      </c>
      <c r="N20" s="71" t="str">
        <f aca="false">IF(AND($C20="Goal",N$7&gt;=$F20,N$7&lt;=$F20+$G20-1),2,IF(AND($C20="Milestone",N$7&gt;=$F20,N$7&lt;=$F20+$G20-1),1,""))</f>
        <v/>
      </c>
      <c r="O20" s="71" t="str">
        <f aca="false">IF(AND($C20="Goal",O$7&gt;=$F20,O$7&lt;=$F20+$G20-1),2,IF(AND($C20="Milestone",O$7&gt;=$F20,O$7&lt;=$F20+$G20-1),1,""))</f>
        <v/>
      </c>
      <c r="P20" s="71" t="str">
        <f aca="false">IF(AND($C20="Goal",P$7&gt;=$F20,P$7&lt;=$F20+$G20-1),2,IF(AND($C20="Milestone",P$7&gt;=$F20,P$7&lt;=$F20+$G20-1),1,""))</f>
        <v/>
      </c>
      <c r="Q20" s="71" t="str">
        <f aca="false">IF(AND($C20="Goal",Q$7&gt;=$F20,Q$7&lt;=$F20+$G20-1),2,IF(AND($C20="Milestone",Q$7&gt;=$F20,Q$7&lt;=$F20+$G20-1),1,""))</f>
        <v/>
      </c>
      <c r="R20" s="71" t="str">
        <f aca="false">IF(AND($C20="Goal",R$7&gt;=$F20,R$7&lt;=$F20+$G20-1),2,IF(AND($C20="Milestone",R$7&gt;=$F20,R$7&lt;=$F20+$G20-1),1,""))</f>
        <v/>
      </c>
      <c r="S20" s="71" t="str">
        <f aca="false">IF(AND($C20="Goal",S$7&gt;=$F20,S$7&lt;=$F20+$G20-1),2,IF(AND($C20="Milestone",S$7&gt;=$F20,S$7&lt;=$F20+$G20-1),1,""))</f>
        <v/>
      </c>
      <c r="T20" s="71" t="str">
        <f aca="false">IF(AND($C20="Goal",T$7&gt;=$F20,T$7&lt;=$F20+$G20-1),2,IF(AND($C20="Milestone",T$7&gt;=$F20,T$7&lt;=$F20+$G20-1),1,""))</f>
        <v/>
      </c>
      <c r="U20" s="71" t="str">
        <f aca="false">IF(AND($C20="Goal",U$7&gt;=$F20,U$7&lt;=$F20+$G20-1),2,IF(AND($C20="Milestone",U$7&gt;=$F20,U$7&lt;=$F20+$G20-1),1,""))</f>
        <v/>
      </c>
      <c r="V20" s="71" t="str">
        <f aca="false">IF(AND($C20="Goal",V$7&gt;=$F20,V$7&lt;=$F20+$G20-1),2,IF(AND($C20="Milestone",V$7&gt;=$F20,V$7&lt;=$F20+$G20-1),1,""))</f>
        <v/>
      </c>
      <c r="W20" s="71" t="str">
        <f aca="false">IF(AND($C20="Goal",W$7&gt;=$F20,W$7&lt;=$F20+$G20-1),2,IF(AND($C20="Milestone",W$7&gt;=$F20,W$7&lt;=$F20+$G20-1),1,""))</f>
        <v/>
      </c>
      <c r="X20" s="71" t="str">
        <f aca="false">IF(AND($C20="Goal",X$7&gt;=$F20,X$7&lt;=$F20+$G20-1),2,IF(AND($C20="Milestone",X$7&gt;=$F20,X$7&lt;=$F20+$G20-1),1,""))</f>
        <v/>
      </c>
      <c r="Y20" s="71" t="str">
        <f aca="false">IF(AND($C20="Goal",Y$7&gt;=$F20,Y$7&lt;=$F20+$G20-1),2,IF(AND($C20="Milestone",Y$7&gt;=$F20,Y$7&lt;=$F20+$G20-1),1,""))</f>
        <v/>
      </c>
      <c r="Z20" s="71" t="str">
        <f aca="false">IF(AND($C20="Goal",Z$7&gt;=$F20,Z$7&lt;=$F20+$G20-1),2,IF(AND($C20="Milestone",Z$7&gt;=$F20,Z$7&lt;=$F20+$G20-1),1,""))</f>
        <v/>
      </c>
      <c r="AA20" s="71" t="str">
        <f aca="false">IF(AND($C20="Goal",AA$7&gt;=$F20,AA$7&lt;=$F20+$G20-1),2,IF(AND($C20="Milestone",AA$7&gt;=$F20,AA$7&lt;=$F20+$G20-1),1,""))</f>
        <v/>
      </c>
      <c r="AB20" s="71" t="str">
        <f aca="false">IF(AND($C20="Goal",AB$7&gt;=$F20,AB$7&lt;=$F20+$G20-1),2,IF(AND($C20="Milestone",AB$7&gt;=$F20,AB$7&lt;=$F20+$G20-1),1,""))</f>
        <v/>
      </c>
      <c r="AC20" s="71" t="str">
        <f aca="false">IF(AND($C20="Goal",AC$7&gt;=$F20,AC$7&lt;=$F20+$G20-1),2,IF(AND($C20="Milestone",AC$7&gt;=$F20,AC$7&lt;=$F20+$G20-1),1,""))</f>
        <v/>
      </c>
      <c r="AD20" s="71" t="str">
        <f aca="false">IF(AND($C20="Goal",AD$7&gt;=$F20,AD$7&lt;=$F20+$G20-1),2,IF(AND($C20="Milestone",AD$7&gt;=$F20,AD$7&lt;=$F20+$G20-1),1,""))</f>
        <v/>
      </c>
      <c r="AE20" s="71" t="str">
        <f aca="false">IF(AND($C20="Goal",AE$7&gt;=$F20,AE$7&lt;=$F20+$G20-1),2,IF(AND($C20="Milestone",AE$7&gt;=$F20,AE$7&lt;=$F20+$G20-1),1,""))</f>
        <v/>
      </c>
      <c r="AF20" s="71" t="str">
        <f aca="false">IF(AND($C20="Goal",AF$7&gt;=$F20,AF$7&lt;=$F20+$G20-1),2,IF(AND($C20="Milestone",AF$7&gt;=$F20,AF$7&lt;=$F20+$G20-1),1,""))</f>
        <v/>
      </c>
      <c r="AG20" s="71" t="str">
        <f aca="false">IF(AND($C20="Goal",AG$7&gt;=$F20,AG$7&lt;=$F20+$G20-1),2,IF(AND($C20="Milestone",AG$7&gt;=$F20,AG$7&lt;=$F20+$G20-1),1,""))</f>
        <v/>
      </c>
      <c r="AH20" s="71" t="str">
        <f aca="false">IF(AND($C20="Goal",AH$7&gt;=$F20,AH$7&lt;=$F20+$G20-1),2,IF(AND($C20="Milestone",AH$7&gt;=$F20,AH$7&lt;=$F20+$G20-1),1,""))</f>
        <v/>
      </c>
      <c r="AI20" s="71" t="str">
        <f aca="false">IF(AND($C20="Goal",AI$7&gt;=$F20,AI$7&lt;=$F20+$G20-1),2,IF(AND($C20="Milestone",AI$7&gt;=$F20,AI$7&lt;=$F20+$G20-1),1,""))</f>
        <v/>
      </c>
      <c r="AJ20" s="71" t="str">
        <f aca="false">IF(AND($C20="Goal",AJ$7&gt;=$F20,AJ$7&lt;=$F20+$G20-1),2,IF(AND($C20="Milestone",AJ$7&gt;=$F20,AJ$7&lt;=$F20+$G20-1),1,""))</f>
        <v/>
      </c>
      <c r="AK20" s="71" t="str">
        <f aca="false">IF(AND($C20="Goal",AK$7&gt;=$F20,AK$7&lt;=$F20+$G20-1),2,IF(AND($C20="Milestone",AK$7&gt;=$F20,AK$7&lt;=$F20+$G20-1),1,""))</f>
        <v/>
      </c>
      <c r="AL20" s="71" t="str">
        <f aca="false">IF(AND($C20="Goal",AL$7&gt;=$F20,AL$7&lt;=$F20+$G20-1),2,IF(AND($C20="Milestone",AL$7&gt;=$F20,AL$7&lt;=$F20+$G20-1),1,""))</f>
        <v/>
      </c>
      <c r="AM20" s="71" t="str">
        <f aca="false">IF(AND($C20="Goal",AM$7&gt;=$F20,AM$7&lt;=$F20+$G20-1),2,IF(AND($C20="Milestone",AM$7&gt;=$F20,AM$7&lt;=$F20+$G20-1),1,""))</f>
        <v/>
      </c>
      <c r="AN20" s="71" t="str">
        <f aca="false">IF(AND($C20="Goal",AN$7&gt;=$F20,AN$7&lt;=$F20+$G20-1),2,IF(AND($C20="Milestone",AN$7&gt;=$F20,AN$7&lt;=$F20+$G20-1),1,""))</f>
        <v/>
      </c>
      <c r="AO20" s="71" t="str">
        <f aca="false">IF(AND($C20="Goal",AO$7&gt;=$F20,AO$7&lt;=$F20+$G20-1),2,IF(AND($C20="Milestone",AO$7&gt;=$F20,AO$7&lt;=$F20+$G20-1),1,""))</f>
        <v/>
      </c>
      <c r="AP20" s="71" t="str">
        <f aca="false">IF(AND($C20="Goal",AP$7&gt;=$F20,AP$7&lt;=$F20+$G20-1),2,IF(AND($C20="Milestone",AP$7&gt;=$F20,AP$7&lt;=$F20+$G20-1),1,""))</f>
        <v/>
      </c>
      <c r="AQ20" s="71" t="str">
        <f aca="false">IF(AND($C20="Goal",AQ$7&gt;=$F20,AQ$7&lt;=$F20+$G20-1),2,IF(AND($C20="Milestone",AQ$7&gt;=$F20,AQ$7&lt;=$F20+$G20-1),1,""))</f>
        <v/>
      </c>
      <c r="AR20" s="71" t="str">
        <f aca="false">IF(AND($C20="Goal",AR$7&gt;=$F20,AR$7&lt;=$F20+$G20-1),2,IF(AND($C20="Milestone",AR$7&gt;=$F20,AR$7&lt;=$F20+$G20-1),1,""))</f>
        <v/>
      </c>
      <c r="AS20" s="71" t="str">
        <f aca="false">IF(AND($C20="Goal",AS$7&gt;=$F20,AS$7&lt;=$F20+$G20-1),2,IF(AND($C20="Milestone",AS$7&gt;=$F20,AS$7&lt;=$F20+$G20-1),1,""))</f>
        <v/>
      </c>
      <c r="AT20" s="71" t="str">
        <f aca="false">IF(AND($C20="Goal",AT$7&gt;=$F20,AT$7&lt;=$F20+$G20-1),2,IF(AND($C20="Milestone",AT$7&gt;=$F20,AT$7&lt;=$F20+$G20-1),1,""))</f>
        <v/>
      </c>
      <c r="AU20" s="71" t="str">
        <f aca="false">IF(AND($C20="Goal",AU$7&gt;=$F20,AU$7&lt;=$F20+$G20-1),2,IF(AND($C20="Milestone",AU$7&gt;=$F20,AU$7&lt;=$F20+$G20-1),1,""))</f>
        <v/>
      </c>
      <c r="AV20" s="71" t="str">
        <f aca="false">IF(AND($C20="Goal",AV$7&gt;=$F20,AV$7&lt;=$F20+$G20-1),2,IF(AND($C20="Milestone",AV$7&gt;=$F20,AV$7&lt;=$F20+$G20-1),1,""))</f>
        <v/>
      </c>
      <c r="AW20" s="71" t="str">
        <f aca="false">IF(AND($C20="Goal",AW$7&gt;=$F20,AW$7&lt;=$F20+$G20-1),2,IF(AND($C20="Milestone",AW$7&gt;=$F20,AW$7&lt;=$F20+$G20-1),1,""))</f>
        <v/>
      </c>
      <c r="AX20" s="71" t="str">
        <f aca="false">IF(AND($C20="Goal",AX$7&gt;=$F20,AX$7&lt;=$F20+$G20-1),2,IF(AND($C20="Milestone",AX$7&gt;=$F20,AX$7&lt;=$F20+$G20-1),1,""))</f>
        <v/>
      </c>
      <c r="AY20" s="71" t="str">
        <f aca="false">IF(AND($C20="Goal",AY$7&gt;=$F20,AY$7&lt;=$F20+$G20-1),2,IF(AND($C20="Milestone",AY$7&gt;=$F20,AY$7&lt;=$F20+$G20-1),1,""))</f>
        <v/>
      </c>
      <c r="AZ20" s="71" t="str">
        <f aca="false">IF(AND($C20="Goal",AZ$7&gt;=$F20,AZ$7&lt;=$F20+$G20-1),2,IF(AND($C20="Milestone",AZ$7&gt;=$F20,AZ$7&lt;=$F20+$G20-1),1,""))</f>
        <v/>
      </c>
      <c r="BA20" s="71" t="str">
        <f aca="false">IF(AND($C20="Goal",BA$7&gt;=$F20,BA$7&lt;=$F20+$G20-1),2,IF(AND($C20="Milestone",BA$7&gt;=$F20,BA$7&lt;=$F20+$G20-1),1,""))</f>
        <v/>
      </c>
      <c r="BB20" s="71" t="str">
        <f aca="false">IF(AND($C20="Goal",BB$7&gt;=$F20,BB$7&lt;=$F20+$G20-1),2,IF(AND($C20="Milestone",BB$7&gt;=$F20,BB$7&lt;=$F20+$G20-1),1,""))</f>
        <v/>
      </c>
      <c r="BC20" s="71" t="str">
        <f aca="false">IF(AND($C20="Goal",BC$7&gt;=$F20,BC$7&lt;=$F20+$G20-1),2,IF(AND($C20="Milestone",BC$7&gt;=$F20,BC$7&lt;=$F20+$G20-1),1,""))</f>
        <v/>
      </c>
      <c r="BD20" s="71" t="str">
        <f aca="false">IF(AND($C20="Goal",BD$7&gt;=$F20,BD$7&lt;=$F20+$G20-1),2,IF(AND($C20="Milestone",BD$7&gt;=$F20,BD$7&lt;=$F20+$G20-1),1,""))</f>
        <v/>
      </c>
      <c r="BE20" s="71" t="str">
        <f aca="false">IF(AND($C20="Goal",BE$7&gt;=$F20,BE$7&lt;=$F20+$G20-1),2,IF(AND($C20="Milestone",BE$7&gt;=$F20,BE$7&lt;=$F20+$G20-1),1,""))</f>
        <v/>
      </c>
      <c r="BF20" s="71" t="str">
        <f aca="false">IF(AND($C20="Goal",BF$7&gt;=$F20,BF$7&lt;=$F20+$G20-1),2,IF(AND($C20="Milestone",BF$7&gt;=$F20,BF$7&lt;=$F20+$G20-1),1,""))</f>
        <v/>
      </c>
      <c r="BG20" s="71" t="str">
        <f aca="false">IF(AND($C20="Goal",BG$7&gt;=$F20,BG$7&lt;=$F20+$G20-1),2,IF(AND($C20="Milestone",BG$7&gt;=$F20,BG$7&lt;=$F20+$G20-1),1,""))</f>
        <v/>
      </c>
      <c r="BH20" s="71" t="str">
        <f aca="false">IF(AND($C20="Goal",BH$7&gt;=$F20,BH$7&lt;=$F20+$G20-1),2,IF(AND($C20="Milestone",BH$7&gt;=$F20,BH$7&lt;=$F20+$G20-1),1,""))</f>
        <v/>
      </c>
      <c r="BI20" s="71" t="str">
        <f aca="false">IF(AND($C20="Goal",BI$7&gt;=$F20,BI$7&lt;=$F20+$G20-1),2,IF(AND($C20="Milestone",BI$7&gt;=$F20,BI$7&lt;=$F20+$G20-1),1,""))</f>
        <v/>
      </c>
      <c r="BJ20" s="71" t="str">
        <f aca="false">IF(AND($C20="Goal",BJ$7&gt;=$F20,BJ$7&lt;=$F20+$G20-1),2,IF(AND($C20="Milestone",BJ$7&gt;=$F20,BJ$7&lt;=$F20+$G20-1),1,""))</f>
        <v/>
      </c>
      <c r="BK20" s="71" t="str">
        <f aca="false">IF(AND($C20="Goal",BK$7&gt;=$F20,BK$7&lt;=$F20+$G20-1),2,IF(AND($C20="Milestone",BK$7&gt;=$F20,BK$7&lt;=$F20+$G20-1),1,""))</f>
        <v/>
      </c>
      <c r="BL20" s="71" t="str">
        <f aca="false">IF(AND($C20="Goal",BL$7&gt;=$F20,BL$7&lt;=$F20+$G20-1),2,IF(AND($C20="Milestone",BL$7&gt;=$F20,BL$7&lt;=$F20+$G20-1),1,""))</f>
        <v/>
      </c>
    </row>
    <row r="21" s="25" customFormat="true" ht="39.75" hidden="false" customHeight="true" outlineLevel="0" collapsed="false">
      <c r="A21" s="13"/>
      <c r="B21" s="60" t="s">
        <v>33</v>
      </c>
      <c r="C21" s="67" t="s">
        <v>20</v>
      </c>
      <c r="D21" s="67" t="s">
        <v>24</v>
      </c>
      <c r="E21" s="68" t="n">
        <v>1</v>
      </c>
      <c r="F21" s="69" t="n">
        <v>45925</v>
      </c>
      <c r="G21" s="70" t="n">
        <v>7</v>
      </c>
      <c r="H21" s="67"/>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1"/>
      <c r="BH21" s="71"/>
      <c r="BI21" s="71"/>
      <c r="BJ21" s="71"/>
      <c r="BK21" s="71"/>
      <c r="BL21" s="71"/>
    </row>
    <row r="22" s="25" customFormat="true" ht="39.75" hidden="false" customHeight="true" outlineLevel="0" collapsed="false">
      <c r="A22" s="13"/>
      <c r="B22" s="78" t="s">
        <v>34</v>
      </c>
      <c r="C22" s="67" t="s">
        <v>35</v>
      </c>
      <c r="D22" s="67" t="s">
        <v>36</v>
      </c>
      <c r="E22" s="68" t="n">
        <v>1</v>
      </c>
      <c r="F22" s="69" t="n">
        <v>45940</v>
      </c>
      <c r="G22" s="70" t="n">
        <v>7</v>
      </c>
      <c r="H22" s="67"/>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row>
    <row r="23" s="25" customFormat="true" ht="39.75" hidden="false" customHeight="true" outlineLevel="0" collapsed="false">
      <c r="A23" s="13"/>
      <c r="B23" s="73" t="s">
        <v>37</v>
      </c>
      <c r="C23" s="67" t="s">
        <v>23</v>
      </c>
      <c r="D23" s="67" t="s">
        <v>26</v>
      </c>
      <c r="E23" s="68" t="n">
        <v>1</v>
      </c>
      <c r="F23" s="69" t="n">
        <v>45940</v>
      </c>
      <c r="G23" s="70" t="n">
        <v>7</v>
      </c>
      <c r="H23" s="67"/>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row>
    <row r="24" s="25" customFormat="true" ht="39.75" hidden="false" customHeight="true" outlineLevel="0" collapsed="false">
      <c r="A24" s="13"/>
      <c r="B24" s="73" t="s">
        <v>38</v>
      </c>
      <c r="C24" s="67" t="s">
        <v>20</v>
      </c>
      <c r="D24" s="67" t="s">
        <v>36</v>
      </c>
      <c r="E24" s="68" t="n">
        <v>1</v>
      </c>
      <c r="F24" s="69" t="n">
        <v>45940</v>
      </c>
      <c r="G24" s="70" t="n">
        <v>7</v>
      </c>
      <c r="H24" s="67"/>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row>
    <row r="25" s="25" customFormat="true" ht="39.75" hidden="false" customHeight="true" outlineLevel="0" collapsed="false">
      <c r="A25" s="13"/>
      <c r="B25" s="73" t="s">
        <v>39</v>
      </c>
      <c r="C25" s="67" t="s">
        <v>20</v>
      </c>
      <c r="D25" s="67" t="s">
        <v>26</v>
      </c>
      <c r="E25" s="68" t="n">
        <v>1</v>
      </c>
      <c r="F25" s="69" t="n">
        <v>45940</v>
      </c>
      <c r="G25" s="70" t="n">
        <v>5</v>
      </c>
      <c r="H25" s="67"/>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row>
    <row r="26" s="25" customFormat="true" ht="39.75" hidden="false" customHeight="true" outlineLevel="0" collapsed="false">
      <c r="A26" s="13"/>
      <c r="B26" s="73" t="s">
        <v>40</v>
      </c>
      <c r="C26" s="67" t="s">
        <v>20</v>
      </c>
      <c r="D26" s="67" t="s">
        <v>36</v>
      </c>
      <c r="E26" s="68" t="n">
        <v>1</v>
      </c>
      <c r="F26" s="69" t="n">
        <v>45940</v>
      </c>
      <c r="G26" s="70" t="n">
        <v>5</v>
      </c>
      <c r="H26" s="67"/>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row>
    <row r="27" s="25" customFormat="true" ht="39.75" hidden="false" customHeight="true" outlineLevel="0" collapsed="false">
      <c r="A27" s="13"/>
      <c r="B27" s="73" t="s">
        <v>41</v>
      </c>
      <c r="C27" s="67" t="s">
        <v>20</v>
      </c>
      <c r="D27" s="67" t="s">
        <v>24</v>
      </c>
      <c r="E27" s="68" t="n">
        <v>1</v>
      </c>
      <c r="F27" s="69" t="n">
        <v>45931</v>
      </c>
      <c r="G27" s="70" t="n">
        <v>5</v>
      </c>
      <c r="H27" s="67"/>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row>
    <row r="28" s="25" customFormat="true" ht="39.75" hidden="false" customHeight="true" outlineLevel="0" collapsed="false">
      <c r="A28" s="13"/>
      <c r="B28" s="73" t="s">
        <v>42</v>
      </c>
      <c r="C28" s="67" t="s">
        <v>20</v>
      </c>
      <c r="D28" s="67" t="s">
        <v>24</v>
      </c>
      <c r="E28" s="68" t="n">
        <v>1</v>
      </c>
      <c r="F28" s="69" t="n">
        <v>45931</v>
      </c>
      <c r="G28" s="70" t="n">
        <v>5</v>
      </c>
      <c r="H28" s="67"/>
      <c r="I28" s="79" t="str">
        <f aca="false">IF(AND($C34="Goal",I$7&gt;=$F34,I$7&lt;=$F34+$G34-1),2,IF(AND($C34="Milestone",I$7&gt;=$F34,I$7&lt;=$F34+$G34-1),1,""))</f>
        <v/>
      </c>
      <c r="J28" s="79" t="str">
        <f aca="false">IF(AND($C34="Goal",J$7&gt;=$F34,J$7&lt;=$F34+$G34-1),2,IF(AND($C34="Milestone",J$7&gt;=$F34,J$7&lt;=$F34+$G34-1),1,""))</f>
        <v/>
      </c>
      <c r="K28" s="79" t="str">
        <f aca="false">IF(AND($C34="Goal",K$7&gt;=$F34,K$7&lt;=$F34+$G34-1),2,IF(AND($C34="Milestone",K$7&gt;=$F34,K$7&lt;=$F34+$G34-1),1,""))</f>
        <v/>
      </c>
      <c r="L28" s="79" t="str">
        <f aca="false">IF(AND($C34="Goal",L$7&gt;=$F34,L$7&lt;=$F34+$G34-1),2,IF(AND($C34="Milestone",L$7&gt;=$F34,L$7&lt;=$F34+$G34-1),1,""))</f>
        <v/>
      </c>
      <c r="M28" s="79" t="str">
        <f aca="false">IF(AND($C34="Goal",M$7&gt;=$F34,M$7&lt;=$F34+$G34-1),2,IF(AND($C34="Milestone",M$7&gt;=$F34,M$7&lt;=$F34+$G34-1),1,""))</f>
        <v/>
      </c>
      <c r="N28" s="79" t="str">
        <f aca="false">IF(AND($C34="Goal",N$7&gt;=$F34,N$7&lt;=$F34+$G34-1),2,IF(AND($C34="Milestone",N$7&gt;=$F34,N$7&lt;=$F34+$G34-1),1,""))</f>
        <v/>
      </c>
      <c r="O28" s="79" t="str">
        <f aca="false">IF(AND($C34="Goal",O$7&gt;=$F34,O$7&lt;=$F34+$G34-1),2,IF(AND($C34="Milestone",O$7&gt;=$F34,O$7&lt;=$F34+$G34-1),1,""))</f>
        <v/>
      </c>
      <c r="P28" s="79" t="str">
        <f aca="false">IF(AND($C34="Goal",P$7&gt;=$F34,P$7&lt;=$F34+$G34-1),2,IF(AND($C34="Milestone",P$7&gt;=$F34,P$7&lt;=$F34+$G34-1),1,""))</f>
        <v/>
      </c>
      <c r="Q28" s="79" t="str">
        <f aca="false">IF(AND($C34="Goal",Q$7&gt;=$F34,Q$7&lt;=$F34+$G34-1),2,IF(AND($C34="Milestone",Q$7&gt;=$F34,Q$7&lt;=$F34+$G34-1),1,""))</f>
        <v/>
      </c>
      <c r="R28" s="79" t="str">
        <f aca="false">IF(AND($C34="Goal",R$7&gt;=$F34,R$7&lt;=$F34+$G34-1),2,IF(AND($C34="Milestone",R$7&gt;=$F34,R$7&lt;=$F34+$G34-1),1,""))</f>
        <v/>
      </c>
      <c r="S28" s="79" t="str">
        <f aca="false">IF(AND($C34="Goal",S$7&gt;=$F34,S$7&lt;=$F34+$G34-1),2,IF(AND($C34="Milestone",S$7&gt;=$F34,S$7&lt;=$F34+$G34-1),1,""))</f>
        <v/>
      </c>
      <c r="T28" s="79" t="str">
        <f aca="false">IF(AND($C34="Goal",T$7&gt;=$F34,T$7&lt;=$F34+$G34-1),2,IF(AND($C34="Milestone",T$7&gt;=$F34,T$7&lt;=$F34+$G34-1),1,""))</f>
        <v/>
      </c>
      <c r="U28" s="79" t="str">
        <f aca="false">IF(AND($C34="Goal",U$7&gt;=$F34,U$7&lt;=$F34+$G34-1),2,IF(AND($C34="Milestone",U$7&gt;=$F34,U$7&lt;=$F34+$G34-1),1,""))</f>
        <v/>
      </c>
      <c r="V28" s="79" t="str">
        <f aca="false">IF(AND($C34="Goal",V$7&gt;=$F34,V$7&lt;=$F34+$G34-1),2,IF(AND($C34="Milestone",V$7&gt;=$F34,V$7&lt;=$F34+$G34-1),1,""))</f>
        <v/>
      </c>
      <c r="W28" s="79" t="str">
        <f aca="false">IF(AND($C34="Goal",W$7&gt;=$F34,W$7&lt;=$F34+$G34-1),2,IF(AND($C34="Milestone",W$7&gt;=$F34,W$7&lt;=$F34+$G34-1),1,""))</f>
        <v/>
      </c>
      <c r="X28" s="79" t="str">
        <f aca="false">IF(AND($C34="Goal",X$7&gt;=$F34,X$7&lt;=$F34+$G34-1),2,IF(AND($C34="Milestone",X$7&gt;=$F34,X$7&lt;=$F34+$G34-1),1,""))</f>
        <v/>
      </c>
      <c r="Y28" s="79" t="str">
        <f aca="false">IF(AND($C34="Goal",Y$7&gt;=$F34,Y$7&lt;=$F34+$G34-1),2,IF(AND($C34="Milestone",Y$7&gt;=$F34,Y$7&lt;=$F34+$G34-1),1,""))</f>
        <v/>
      </c>
      <c r="Z28" s="79" t="str">
        <f aca="false">IF(AND($C34="Goal",Z$7&gt;=$F34,Z$7&lt;=$F34+$G34-1),2,IF(AND($C34="Milestone",Z$7&gt;=$F34,Z$7&lt;=$F34+$G34-1),1,""))</f>
        <v/>
      </c>
      <c r="AA28" s="79" t="str">
        <f aca="false">IF(AND($C34="Goal",AA$7&gt;=$F34,AA$7&lt;=$F34+$G34-1),2,IF(AND($C34="Milestone",AA$7&gt;=$F34,AA$7&lt;=$F34+$G34-1),1,""))</f>
        <v/>
      </c>
      <c r="AB28" s="79" t="str">
        <f aca="false">IF(AND($C34="Goal",AB$7&gt;=$F34,AB$7&lt;=$F34+$G34-1),2,IF(AND($C34="Milestone",AB$7&gt;=$F34,AB$7&lt;=$F34+$G34-1),1,""))</f>
        <v/>
      </c>
      <c r="AC28" s="79" t="str">
        <f aca="false">IF(AND($C34="Goal",AC$7&gt;=$F34,AC$7&lt;=$F34+$G34-1),2,IF(AND($C34="Milestone",AC$7&gt;=$F34,AC$7&lt;=$F34+$G34-1),1,""))</f>
        <v/>
      </c>
      <c r="AD28" s="79" t="str">
        <f aca="false">IF(AND($C34="Goal",AD$7&gt;=$F34,AD$7&lt;=$F34+$G34-1),2,IF(AND($C34="Milestone",AD$7&gt;=$F34,AD$7&lt;=$F34+$G34-1),1,""))</f>
        <v/>
      </c>
      <c r="AE28" s="79" t="str">
        <f aca="false">IF(AND($C34="Goal",AE$7&gt;=$F34,AE$7&lt;=$F34+$G34-1),2,IF(AND($C34="Milestone",AE$7&gt;=$F34,AE$7&lt;=$F34+$G34-1),1,""))</f>
        <v/>
      </c>
      <c r="AF28" s="79" t="str">
        <f aca="false">IF(AND($C34="Goal",AF$7&gt;=$F34,AF$7&lt;=$F34+$G34-1),2,IF(AND($C34="Milestone",AF$7&gt;=$F34,AF$7&lt;=$F34+$G34-1),1,""))</f>
        <v/>
      </c>
      <c r="AG28" s="79" t="str">
        <f aca="false">IF(AND($C34="Goal",AG$7&gt;=$F34,AG$7&lt;=$F34+$G34-1),2,IF(AND($C34="Milestone",AG$7&gt;=$F34,AG$7&lt;=$F34+$G34-1),1,""))</f>
        <v/>
      </c>
      <c r="AH28" s="79" t="str">
        <f aca="false">IF(AND($C34="Goal",AH$7&gt;=$F34,AH$7&lt;=$F34+$G34-1),2,IF(AND($C34="Milestone",AH$7&gt;=$F34,AH$7&lt;=$F34+$G34-1),1,""))</f>
        <v/>
      </c>
      <c r="AI28" s="79" t="str">
        <f aca="false">IF(AND($C34="Goal",AI$7&gt;=$F34,AI$7&lt;=$F34+$G34-1),2,IF(AND($C34="Milestone",AI$7&gt;=$F34,AI$7&lt;=$F34+$G34-1),1,""))</f>
        <v/>
      </c>
      <c r="AJ28" s="79" t="str">
        <f aca="false">IF(AND($C34="Goal",AJ$7&gt;=$F34,AJ$7&lt;=$F34+$G34-1),2,IF(AND($C34="Milestone",AJ$7&gt;=$F34,AJ$7&lt;=$F34+$G34-1),1,""))</f>
        <v/>
      </c>
      <c r="AK28" s="79" t="str">
        <f aca="false">IF(AND($C34="Goal",AK$7&gt;=$F34,AK$7&lt;=$F34+$G34-1),2,IF(AND($C34="Milestone",AK$7&gt;=$F34,AK$7&lt;=$F34+$G34-1),1,""))</f>
        <v/>
      </c>
      <c r="AL28" s="79" t="str">
        <f aca="false">IF(AND($C34="Goal",AL$7&gt;=$F34,AL$7&lt;=$F34+$G34-1),2,IF(AND($C34="Milestone",AL$7&gt;=$F34,AL$7&lt;=$F34+$G34-1),1,""))</f>
        <v/>
      </c>
      <c r="AM28" s="79" t="str">
        <f aca="false">IF(AND($C34="Goal",AM$7&gt;=$F34,AM$7&lt;=$F34+$G34-1),2,IF(AND($C34="Milestone",AM$7&gt;=$F34,AM$7&lt;=$F34+$G34-1),1,""))</f>
        <v/>
      </c>
      <c r="AN28" s="79" t="str">
        <f aca="false">IF(AND($C34="Goal",AN$7&gt;=$F34,AN$7&lt;=$F34+$G34-1),2,IF(AND($C34="Milestone",AN$7&gt;=$F34,AN$7&lt;=$F34+$G34-1),1,""))</f>
        <v/>
      </c>
      <c r="AO28" s="79" t="str">
        <f aca="false">IF(AND($C34="Goal",AO$7&gt;=$F34,AO$7&lt;=$F34+$G34-1),2,IF(AND($C34="Milestone",AO$7&gt;=$F34,AO$7&lt;=$F34+$G34-1),1,""))</f>
        <v/>
      </c>
      <c r="AP28" s="79" t="str">
        <f aca="false">IF(AND($C34="Goal",AP$7&gt;=$F34,AP$7&lt;=$F34+$G34-1),2,IF(AND($C34="Milestone",AP$7&gt;=$F34,AP$7&lt;=$F34+$G34-1),1,""))</f>
        <v/>
      </c>
      <c r="AQ28" s="79" t="str">
        <f aca="false">IF(AND($C34="Goal",AQ$7&gt;=$F34,AQ$7&lt;=$F34+$G34-1),2,IF(AND($C34="Milestone",AQ$7&gt;=$F34,AQ$7&lt;=$F34+$G34-1),1,""))</f>
        <v/>
      </c>
      <c r="AR28" s="79" t="str">
        <f aca="false">IF(AND($C34="Goal",AR$7&gt;=$F34,AR$7&lt;=$F34+$G34-1),2,IF(AND($C34="Milestone",AR$7&gt;=$F34,AR$7&lt;=$F34+$G34-1),1,""))</f>
        <v/>
      </c>
      <c r="AS28" s="79" t="str">
        <f aca="false">IF(AND($C34="Goal",AS$7&gt;=$F34,AS$7&lt;=$F34+$G34-1),2,IF(AND($C34="Milestone",AS$7&gt;=$F34,AS$7&lt;=$F34+$G34-1),1,""))</f>
        <v/>
      </c>
      <c r="AT28" s="79" t="str">
        <f aca="false">IF(AND($C34="Goal",AT$7&gt;=$F34,AT$7&lt;=$F34+$G34-1),2,IF(AND($C34="Milestone",AT$7&gt;=$F34,AT$7&lt;=$F34+$G34-1),1,""))</f>
        <v/>
      </c>
      <c r="AU28" s="79" t="str">
        <f aca="false">IF(AND($C34="Goal",AU$7&gt;=$F34,AU$7&lt;=$F34+$G34-1),2,IF(AND($C34="Milestone",AU$7&gt;=$F34,AU$7&lt;=$F34+$G34-1),1,""))</f>
        <v/>
      </c>
      <c r="AV28" s="79" t="str">
        <f aca="false">IF(AND($C34="Goal",AV$7&gt;=$F34,AV$7&lt;=$F34+$G34-1),2,IF(AND($C34="Milestone",AV$7&gt;=$F34,AV$7&lt;=$F34+$G34-1),1,""))</f>
        <v/>
      </c>
      <c r="AW28" s="79" t="str">
        <f aca="false">IF(AND($C34="Goal",AW$7&gt;=$F34,AW$7&lt;=$F34+$G34-1),2,IF(AND($C34="Milestone",AW$7&gt;=$F34,AW$7&lt;=$F34+$G34-1),1,""))</f>
        <v/>
      </c>
      <c r="AX28" s="79" t="str">
        <f aca="false">IF(AND($C34="Goal",AX$7&gt;=$F34,AX$7&lt;=$F34+$G34-1),2,IF(AND($C34="Milestone",AX$7&gt;=$F34,AX$7&lt;=$F34+$G34-1),1,""))</f>
        <v/>
      </c>
      <c r="AY28" s="79" t="str">
        <f aca="false">IF(AND($C34="Goal",AY$7&gt;=$F34,AY$7&lt;=$F34+$G34-1),2,IF(AND($C34="Milestone",AY$7&gt;=$F34,AY$7&lt;=$F34+$G34-1),1,""))</f>
        <v/>
      </c>
      <c r="AZ28" s="79" t="str">
        <f aca="false">IF(AND($C34="Goal",AZ$7&gt;=$F34,AZ$7&lt;=$F34+$G34-1),2,IF(AND($C34="Milestone",AZ$7&gt;=$F34,AZ$7&lt;=$F34+$G34-1),1,""))</f>
        <v/>
      </c>
      <c r="BA28" s="79" t="str">
        <f aca="false">IF(AND($C34="Goal",BA$7&gt;=$F34,BA$7&lt;=$F34+$G34-1),2,IF(AND($C34="Milestone",BA$7&gt;=$F34,BA$7&lt;=$F34+$G34-1),1,""))</f>
        <v/>
      </c>
      <c r="BB28" s="79" t="str">
        <f aca="false">IF(AND($C34="Goal",BB$7&gt;=$F34,BB$7&lt;=$F34+$G34-1),2,IF(AND($C34="Milestone",BB$7&gt;=$F34,BB$7&lt;=$F34+$G34-1),1,""))</f>
        <v/>
      </c>
      <c r="BC28" s="79" t="str">
        <f aca="false">IF(AND($C34="Goal",BC$7&gt;=$F34,BC$7&lt;=$F34+$G34-1),2,IF(AND($C34="Milestone",BC$7&gt;=$F34,BC$7&lt;=$F34+$G34-1),1,""))</f>
        <v/>
      </c>
      <c r="BD28" s="79" t="str">
        <f aca="false">IF(AND($C34="Goal",BD$7&gt;=$F34,BD$7&lt;=$F34+$G34-1),2,IF(AND($C34="Milestone",BD$7&gt;=$F34,BD$7&lt;=$F34+$G34-1),1,""))</f>
        <v/>
      </c>
      <c r="BE28" s="79" t="str">
        <f aca="false">IF(AND($C34="Goal",BE$7&gt;=$F34,BE$7&lt;=$F34+$G34-1),2,IF(AND($C34="Milestone",BE$7&gt;=$F34,BE$7&lt;=$F34+$G34-1),1,""))</f>
        <v/>
      </c>
      <c r="BF28" s="79" t="str">
        <f aca="false">IF(AND($C34="Goal",BF$7&gt;=$F34,BF$7&lt;=$F34+$G34-1),2,IF(AND($C34="Milestone",BF$7&gt;=$F34,BF$7&lt;=$F34+$G34-1),1,""))</f>
        <v/>
      </c>
      <c r="BG28" s="79" t="str">
        <f aca="false">IF(AND($C34="Goal",BG$7&gt;=$F34,BG$7&lt;=$F34+$G34-1),2,IF(AND($C34="Milestone",BG$7&gt;=$F34,BG$7&lt;=$F34+$G34-1),1,""))</f>
        <v/>
      </c>
      <c r="BH28" s="79" t="str">
        <f aca="false">IF(AND($C34="Goal",BH$7&gt;=$F34,BH$7&lt;=$F34+$G34-1),2,IF(AND($C34="Milestone",BH$7&gt;=$F34,BH$7&lt;=$F34+$G34-1),1,""))</f>
        <v/>
      </c>
      <c r="BI28" s="79" t="str">
        <f aca="false">IF(AND($C34="Goal",BI$7&gt;=$F34,BI$7&lt;=$F34+$G34-1),2,IF(AND($C34="Milestone",BI$7&gt;=$F34,BI$7&lt;=$F34+$G34-1),1,""))</f>
        <v/>
      </c>
      <c r="BJ28" s="79" t="str">
        <f aca="false">IF(AND($C34="Goal",BJ$7&gt;=$F34,BJ$7&lt;=$F34+$G34-1),2,IF(AND($C34="Milestone",BJ$7&gt;=$F34,BJ$7&lt;=$F34+$G34-1),1,""))</f>
        <v/>
      </c>
      <c r="BK28" s="79" t="str">
        <f aca="false">IF(AND($C34="Goal",BK$7&gt;=$F34,BK$7&lt;=$F34+$G34-1),2,IF(AND($C34="Milestone",BK$7&gt;=$F34,BK$7&lt;=$F34+$G34-1),1,""))</f>
        <v/>
      </c>
      <c r="BL28" s="79" t="str">
        <f aca="false">IF(AND($C34="Goal",BL$7&gt;=$F34,BL$7&lt;=$F34+$G34-1),2,IF(AND($C34="Milestone",BL$7&gt;=$F34,BL$7&lt;=$F34+$G34-1),1,""))</f>
        <v/>
      </c>
    </row>
    <row r="29" s="25" customFormat="true" ht="39.75" hidden="false" customHeight="true" outlineLevel="0" collapsed="false">
      <c r="A29" s="13"/>
      <c r="B29" s="80" t="s">
        <v>43</v>
      </c>
      <c r="C29" s="67" t="s">
        <v>35</v>
      </c>
      <c r="D29" s="67" t="s">
        <v>26</v>
      </c>
      <c r="E29" s="68" t="n">
        <v>1</v>
      </c>
      <c r="F29" s="69" t="n">
        <v>45931</v>
      </c>
      <c r="G29" s="70" t="n">
        <v>7</v>
      </c>
      <c r="H29" s="67"/>
      <c r="I29" s="79" t="str">
        <f aca="false">IF(AND($C36="Goal",I$7&gt;=$F36,I$7&lt;=$F36+$G36-1),2,IF(AND($C36="Milestone",I$7&gt;=$F36,I$7&lt;=$F36+$G36-1),1,""))</f>
        <v/>
      </c>
      <c r="J29" s="79" t="str">
        <f aca="false">IF(AND($C36="Goal",J$7&gt;=$F36,J$7&lt;=$F36+$G36-1),2,IF(AND($C36="Milestone",J$7&gt;=$F36,J$7&lt;=$F36+$G36-1),1,""))</f>
        <v/>
      </c>
      <c r="K29" s="79" t="str">
        <f aca="false">IF(AND($C36="Goal",K$7&gt;=$F36,K$7&lt;=$F36+$G36-1),2,IF(AND($C36="Milestone",K$7&gt;=$F36,K$7&lt;=$F36+$G36-1),1,""))</f>
        <v/>
      </c>
      <c r="L29" s="79" t="str">
        <f aca="false">IF(AND($C36="Goal",L$7&gt;=$F36,L$7&lt;=$F36+$G36-1),2,IF(AND($C36="Milestone",L$7&gt;=$F36,L$7&lt;=$F36+$G36-1),1,""))</f>
        <v/>
      </c>
      <c r="M29" s="79" t="str">
        <f aca="false">IF(AND($C36="Goal",M$7&gt;=$F36,M$7&lt;=$F36+$G36-1),2,IF(AND($C36="Milestone",M$7&gt;=$F36,M$7&lt;=$F36+$G36-1),1,""))</f>
        <v/>
      </c>
      <c r="N29" s="79" t="str">
        <f aca="false">IF(AND($C36="Goal",N$7&gt;=$F36,N$7&lt;=$F36+$G36-1),2,IF(AND($C36="Milestone",N$7&gt;=$F36,N$7&lt;=$F36+$G36-1),1,""))</f>
        <v/>
      </c>
      <c r="O29" s="79" t="str">
        <f aca="false">IF(AND($C36="Goal",O$7&gt;=$F36,O$7&lt;=$F36+$G36-1),2,IF(AND($C36="Milestone",O$7&gt;=$F36,O$7&lt;=$F36+$G36-1),1,""))</f>
        <v/>
      </c>
      <c r="P29" s="79" t="str">
        <f aca="false">IF(AND($C36="Goal",P$7&gt;=$F36,P$7&lt;=$F36+$G36-1),2,IF(AND($C36="Milestone",P$7&gt;=$F36,P$7&lt;=$F36+$G36-1),1,""))</f>
        <v/>
      </c>
      <c r="Q29" s="79" t="str">
        <f aca="false">IF(AND($C36="Goal",Q$7&gt;=$F36,Q$7&lt;=$F36+$G36-1),2,IF(AND($C36="Milestone",Q$7&gt;=$F36,Q$7&lt;=$F36+$G36-1),1,""))</f>
        <v/>
      </c>
      <c r="R29" s="79" t="str">
        <f aca="false">IF(AND($C36="Goal",R$7&gt;=$F36,R$7&lt;=$F36+$G36-1),2,IF(AND($C36="Milestone",R$7&gt;=$F36,R$7&lt;=$F36+$G36-1),1,""))</f>
        <v/>
      </c>
      <c r="S29" s="79" t="str">
        <f aca="false">IF(AND($C36="Goal",S$7&gt;=$F36,S$7&lt;=$F36+$G36-1),2,IF(AND($C36="Milestone",S$7&gt;=$F36,S$7&lt;=$F36+$G36-1),1,""))</f>
        <v/>
      </c>
      <c r="T29" s="79" t="str">
        <f aca="false">IF(AND($C36="Goal",T$7&gt;=$F36,T$7&lt;=$F36+$G36-1),2,IF(AND($C36="Milestone",T$7&gt;=$F36,T$7&lt;=$F36+$G36-1),1,""))</f>
        <v/>
      </c>
      <c r="U29" s="79" t="str">
        <f aca="false">IF(AND($C36="Goal",U$7&gt;=$F36,U$7&lt;=$F36+$G36-1),2,IF(AND($C36="Milestone",U$7&gt;=$F36,U$7&lt;=$F36+$G36-1),1,""))</f>
        <v/>
      </c>
      <c r="V29" s="79" t="str">
        <f aca="false">IF(AND($C36="Goal",V$7&gt;=$F36,V$7&lt;=$F36+$G36-1),2,IF(AND($C36="Milestone",V$7&gt;=$F36,V$7&lt;=$F36+$G36-1),1,""))</f>
        <v/>
      </c>
      <c r="W29" s="79" t="str">
        <f aca="false">IF(AND($C36="Goal",W$7&gt;=$F36,W$7&lt;=$F36+$G36-1),2,IF(AND($C36="Milestone",W$7&gt;=$F36,W$7&lt;=$F36+$G36-1),1,""))</f>
        <v/>
      </c>
      <c r="X29" s="79" t="str">
        <f aca="false">IF(AND($C36="Goal",X$7&gt;=$F36,X$7&lt;=$F36+$G36-1),2,IF(AND($C36="Milestone",X$7&gt;=$F36,X$7&lt;=$F36+$G36-1),1,""))</f>
        <v/>
      </c>
      <c r="Y29" s="79" t="str">
        <f aca="false">IF(AND($C36="Goal",Y$7&gt;=$F36,Y$7&lt;=$F36+$G36-1),2,IF(AND($C36="Milestone",Y$7&gt;=$F36,Y$7&lt;=$F36+$G36-1),1,""))</f>
        <v/>
      </c>
      <c r="Z29" s="79" t="str">
        <f aca="false">IF(AND($C36="Goal",Z$7&gt;=$F36,Z$7&lt;=$F36+$G36-1),2,IF(AND($C36="Milestone",Z$7&gt;=$F36,Z$7&lt;=$F36+$G36-1),1,""))</f>
        <v/>
      </c>
      <c r="AA29" s="79" t="str">
        <f aca="false">IF(AND($C36="Goal",AA$7&gt;=$F36,AA$7&lt;=$F36+$G36-1),2,IF(AND($C36="Milestone",AA$7&gt;=$F36,AA$7&lt;=$F36+$G36-1),1,""))</f>
        <v/>
      </c>
      <c r="AB29" s="79" t="str">
        <f aca="false">IF(AND($C36="Goal",AB$7&gt;=$F36,AB$7&lt;=$F36+$G36-1),2,IF(AND($C36="Milestone",AB$7&gt;=$F36,AB$7&lt;=$F36+$G36-1),1,""))</f>
        <v/>
      </c>
      <c r="AC29" s="79" t="str">
        <f aca="false">IF(AND($C36="Goal",AC$7&gt;=$F36,AC$7&lt;=$F36+$G36-1),2,IF(AND($C36="Milestone",AC$7&gt;=$F36,AC$7&lt;=$F36+$G36-1),1,""))</f>
        <v/>
      </c>
      <c r="AD29" s="79" t="str">
        <f aca="false">IF(AND($C36="Goal",AD$7&gt;=$F36,AD$7&lt;=$F36+$G36-1),2,IF(AND($C36="Milestone",AD$7&gt;=$F36,AD$7&lt;=$F36+$G36-1),1,""))</f>
        <v/>
      </c>
      <c r="AE29" s="79" t="str">
        <f aca="false">IF(AND($C36="Goal",AE$7&gt;=$F36,AE$7&lt;=$F36+$G36-1),2,IF(AND($C36="Milestone",AE$7&gt;=$F36,AE$7&lt;=$F36+$G36-1),1,""))</f>
        <v/>
      </c>
      <c r="AF29" s="79" t="str">
        <f aca="false">IF(AND($C36="Goal",AF$7&gt;=$F36,AF$7&lt;=$F36+$G36-1),2,IF(AND($C36="Milestone",AF$7&gt;=$F36,AF$7&lt;=$F36+$G36-1),1,""))</f>
        <v/>
      </c>
      <c r="AG29" s="79" t="str">
        <f aca="false">IF(AND($C36="Goal",AG$7&gt;=$F36,AG$7&lt;=$F36+$G36-1),2,IF(AND($C36="Milestone",AG$7&gt;=$F36,AG$7&lt;=$F36+$G36-1),1,""))</f>
        <v/>
      </c>
      <c r="AH29" s="79" t="str">
        <f aca="false">IF(AND($C36="Goal",AH$7&gt;=$F36,AH$7&lt;=$F36+$G36-1),2,IF(AND($C36="Milestone",AH$7&gt;=$F36,AH$7&lt;=$F36+$G36-1),1,""))</f>
        <v/>
      </c>
      <c r="AI29" s="79" t="str">
        <f aca="false">IF(AND($C36="Goal",AI$7&gt;=$F36,AI$7&lt;=$F36+$G36-1),2,IF(AND($C36="Milestone",AI$7&gt;=$F36,AI$7&lt;=$F36+$G36-1),1,""))</f>
        <v/>
      </c>
      <c r="AJ29" s="79" t="str">
        <f aca="false">IF(AND($C36="Goal",AJ$7&gt;=$F36,AJ$7&lt;=$F36+$G36-1),2,IF(AND($C36="Milestone",AJ$7&gt;=$F36,AJ$7&lt;=$F36+$G36-1),1,""))</f>
        <v/>
      </c>
      <c r="AK29" s="79" t="str">
        <f aca="false">IF(AND($C36="Goal",AK$7&gt;=$F36,AK$7&lt;=$F36+$G36-1),2,IF(AND($C36="Milestone",AK$7&gt;=$F36,AK$7&lt;=$F36+$G36-1),1,""))</f>
        <v/>
      </c>
      <c r="AL29" s="79" t="str">
        <f aca="false">IF(AND($C36="Goal",AL$7&gt;=$F36,AL$7&lt;=$F36+$G36-1),2,IF(AND($C36="Milestone",AL$7&gt;=$F36,AL$7&lt;=$F36+$G36-1),1,""))</f>
        <v/>
      </c>
      <c r="AM29" s="79" t="str">
        <f aca="false">IF(AND($C36="Goal",AM$7&gt;=$F36,AM$7&lt;=$F36+$G36-1),2,IF(AND($C36="Milestone",AM$7&gt;=$F36,AM$7&lt;=$F36+$G36-1),1,""))</f>
        <v/>
      </c>
      <c r="AN29" s="79" t="str">
        <f aca="false">IF(AND($C36="Goal",AN$7&gt;=$F36,AN$7&lt;=$F36+$G36-1),2,IF(AND($C36="Milestone",AN$7&gt;=$F36,AN$7&lt;=$F36+$G36-1),1,""))</f>
        <v/>
      </c>
      <c r="AO29" s="79" t="str">
        <f aca="false">IF(AND($C36="Goal",AO$7&gt;=$F36,AO$7&lt;=$F36+$G36-1),2,IF(AND($C36="Milestone",AO$7&gt;=$F36,AO$7&lt;=$F36+$G36-1),1,""))</f>
        <v/>
      </c>
      <c r="AP29" s="79" t="str">
        <f aca="false">IF(AND($C36="Goal",AP$7&gt;=$F36,AP$7&lt;=$F36+$G36-1),2,IF(AND($C36="Milestone",AP$7&gt;=$F36,AP$7&lt;=$F36+$G36-1),1,""))</f>
        <v/>
      </c>
      <c r="AQ29" s="79" t="str">
        <f aca="false">IF(AND($C36="Goal",AQ$7&gt;=$F36,AQ$7&lt;=$F36+$G36-1),2,IF(AND($C36="Milestone",AQ$7&gt;=$F36,AQ$7&lt;=$F36+$G36-1),1,""))</f>
        <v/>
      </c>
      <c r="AR29" s="79" t="str">
        <f aca="false">IF(AND($C36="Goal",AR$7&gt;=$F36,AR$7&lt;=$F36+$G36-1),2,IF(AND($C36="Milestone",AR$7&gt;=$F36,AR$7&lt;=$F36+$G36-1),1,""))</f>
        <v/>
      </c>
      <c r="AS29" s="79" t="str">
        <f aca="false">IF(AND($C36="Goal",AS$7&gt;=$F36,AS$7&lt;=$F36+$G36-1),2,IF(AND($C36="Milestone",AS$7&gt;=$F36,AS$7&lt;=$F36+$G36-1),1,""))</f>
        <v/>
      </c>
      <c r="AT29" s="79" t="str">
        <f aca="false">IF(AND($C36="Goal",AT$7&gt;=$F36,AT$7&lt;=$F36+$G36-1),2,IF(AND($C36="Milestone",AT$7&gt;=$F36,AT$7&lt;=$F36+$G36-1),1,""))</f>
        <v/>
      </c>
      <c r="AU29" s="79" t="str">
        <f aca="false">IF(AND($C36="Goal",AU$7&gt;=$F36,AU$7&lt;=$F36+$G36-1),2,IF(AND($C36="Milestone",AU$7&gt;=$F36,AU$7&lt;=$F36+$G36-1),1,""))</f>
        <v/>
      </c>
      <c r="AV29" s="79" t="str">
        <f aca="false">IF(AND($C36="Goal",AV$7&gt;=$F36,AV$7&lt;=$F36+$G36-1),2,IF(AND($C36="Milestone",AV$7&gt;=$F36,AV$7&lt;=$F36+$G36-1),1,""))</f>
        <v/>
      </c>
      <c r="AW29" s="79" t="str">
        <f aca="false">IF(AND($C36="Goal",AW$7&gt;=$F36,AW$7&lt;=$F36+$G36-1),2,IF(AND($C36="Milestone",AW$7&gt;=$F36,AW$7&lt;=$F36+$G36-1),1,""))</f>
        <v/>
      </c>
      <c r="AX29" s="79" t="str">
        <f aca="false">IF(AND($C36="Goal",AX$7&gt;=$F36,AX$7&lt;=$F36+$G36-1),2,IF(AND($C36="Milestone",AX$7&gt;=$F36,AX$7&lt;=$F36+$G36-1),1,""))</f>
        <v/>
      </c>
      <c r="AY29" s="79" t="str">
        <f aca="false">IF(AND($C36="Goal",AY$7&gt;=$F36,AY$7&lt;=$F36+$G36-1),2,IF(AND($C36="Milestone",AY$7&gt;=$F36,AY$7&lt;=$F36+$G36-1),1,""))</f>
        <v/>
      </c>
      <c r="AZ29" s="79" t="str">
        <f aca="false">IF(AND($C36="Goal",AZ$7&gt;=$F36,AZ$7&lt;=$F36+$G36-1),2,IF(AND($C36="Milestone",AZ$7&gt;=$F36,AZ$7&lt;=$F36+$G36-1),1,""))</f>
        <v/>
      </c>
      <c r="BA29" s="79" t="str">
        <f aca="false">IF(AND($C36="Goal",BA$7&gt;=$F36,BA$7&lt;=$F36+$G36-1),2,IF(AND($C36="Milestone",BA$7&gt;=$F36,BA$7&lt;=$F36+$G36-1),1,""))</f>
        <v/>
      </c>
      <c r="BB29" s="79" t="str">
        <f aca="false">IF(AND($C36="Goal",BB$7&gt;=$F36,BB$7&lt;=$F36+$G36-1),2,IF(AND($C36="Milestone",BB$7&gt;=$F36,BB$7&lt;=$F36+$G36-1),1,""))</f>
        <v/>
      </c>
      <c r="BC29" s="79" t="str">
        <f aca="false">IF(AND($C36="Goal",BC$7&gt;=$F36,BC$7&lt;=$F36+$G36-1),2,IF(AND($C36="Milestone",BC$7&gt;=$F36,BC$7&lt;=$F36+$G36-1),1,""))</f>
        <v/>
      </c>
      <c r="BD29" s="79" t="str">
        <f aca="false">IF(AND($C36="Goal",BD$7&gt;=$F36,BD$7&lt;=$F36+$G36-1),2,IF(AND($C36="Milestone",BD$7&gt;=$F36,BD$7&lt;=$F36+$G36-1),1,""))</f>
        <v/>
      </c>
      <c r="BE29" s="79" t="str">
        <f aca="false">IF(AND($C36="Goal",BE$7&gt;=$F36,BE$7&lt;=$F36+$G36-1),2,IF(AND($C36="Milestone",BE$7&gt;=$F36,BE$7&lt;=$F36+$G36-1),1,""))</f>
        <v/>
      </c>
      <c r="BF29" s="79" t="str">
        <f aca="false">IF(AND($C36="Goal",BF$7&gt;=$F36,BF$7&lt;=$F36+$G36-1),2,IF(AND($C36="Milestone",BF$7&gt;=$F36,BF$7&lt;=$F36+$G36-1),1,""))</f>
        <v/>
      </c>
      <c r="BG29" s="79" t="str">
        <f aca="false">IF(AND($C36="Goal",BG$7&gt;=$F36,BG$7&lt;=$F36+$G36-1),2,IF(AND($C36="Milestone",BG$7&gt;=$F36,BG$7&lt;=$F36+$G36-1),1,""))</f>
        <v/>
      </c>
      <c r="BH29" s="79" t="str">
        <f aca="false">IF(AND($C36="Goal",BH$7&gt;=$F36,BH$7&lt;=$F36+$G36-1),2,IF(AND($C36="Milestone",BH$7&gt;=$F36,BH$7&lt;=$F36+$G36-1),1,""))</f>
        <v/>
      </c>
      <c r="BI29" s="79" t="str">
        <f aca="false">IF(AND($C36="Goal",BI$7&gt;=$F36,BI$7&lt;=$F36+$G36-1),2,IF(AND($C36="Milestone",BI$7&gt;=$F36,BI$7&lt;=$F36+$G36-1),1,""))</f>
        <v/>
      </c>
      <c r="BJ29" s="79" t="str">
        <f aca="false">IF(AND($C36="Goal",BJ$7&gt;=$F36,BJ$7&lt;=$F36+$G36-1),2,IF(AND($C36="Milestone",BJ$7&gt;=$F36,BJ$7&lt;=$F36+$G36-1),1,""))</f>
        <v/>
      </c>
      <c r="BK29" s="79" t="str">
        <f aca="false">IF(AND($C36="Goal",BK$7&gt;=$F36,BK$7&lt;=$F36+$G36-1),2,IF(AND($C36="Milestone",BK$7&gt;=$F36,BK$7&lt;=$F36+$G36-1),1,""))</f>
        <v/>
      </c>
      <c r="BL29" s="79" t="str">
        <f aca="false">IF(AND($C36="Goal",BL$7&gt;=$F36,BL$7&lt;=$F36+$G36-1),2,IF(AND($C36="Milestone",BL$7&gt;=$F36,BL$7&lt;=$F36+$G36-1),1,""))</f>
        <v/>
      </c>
    </row>
    <row r="30" s="25" customFormat="true" ht="39.75" hidden="false" customHeight="true" outlineLevel="0" collapsed="false">
      <c r="A30" s="13"/>
      <c r="B30" s="80" t="s">
        <v>44</v>
      </c>
      <c r="C30" s="67" t="s">
        <v>35</v>
      </c>
      <c r="D30" s="67" t="s">
        <v>26</v>
      </c>
      <c r="E30" s="68" t="n">
        <v>1</v>
      </c>
      <c r="F30" s="69" t="n">
        <v>45931</v>
      </c>
      <c r="G30" s="70" t="n">
        <v>7</v>
      </c>
      <c r="H30" s="67"/>
      <c r="I30" s="79" t="str">
        <f aca="false">IF(AND($C37="Goal",I$7&gt;=$F37,I$7&lt;=$F37+$G37-1),2,IF(AND($C37="Milestone",I$7&gt;=$F37,I$7&lt;=$F37+$G37-1),1,""))</f>
        <v/>
      </c>
      <c r="J30" s="79" t="str">
        <f aca="false">IF(AND($C37="Goal",J$7&gt;=$F37,J$7&lt;=$F37+$G37-1),2,IF(AND($C37="Milestone",J$7&gt;=$F37,J$7&lt;=$F37+$G37-1),1,""))</f>
        <v/>
      </c>
      <c r="K30" s="79" t="str">
        <f aca="false">IF(AND($C37="Goal",K$7&gt;=$F37,K$7&lt;=$F37+$G37-1),2,IF(AND($C37="Milestone",K$7&gt;=$F37,K$7&lt;=$F37+$G37-1),1,""))</f>
        <v/>
      </c>
      <c r="L30" s="79" t="str">
        <f aca="false">IF(AND($C37="Goal",L$7&gt;=$F37,L$7&lt;=$F37+$G37-1),2,IF(AND($C37="Milestone",L$7&gt;=$F37,L$7&lt;=$F37+$G37-1),1,""))</f>
        <v/>
      </c>
      <c r="M30" s="79" t="str">
        <f aca="false">IF(AND($C37="Goal",M$7&gt;=$F37,M$7&lt;=$F37+$G37-1),2,IF(AND($C37="Milestone",M$7&gt;=$F37,M$7&lt;=$F37+$G37-1),1,""))</f>
        <v/>
      </c>
      <c r="N30" s="79" t="str">
        <f aca="false">IF(AND($C37="Goal",N$7&gt;=$F37,N$7&lt;=$F37+$G37-1),2,IF(AND($C37="Milestone",N$7&gt;=$F37,N$7&lt;=$F37+$G37-1),1,""))</f>
        <v/>
      </c>
      <c r="O30" s="79" t="str">
        <f aca="false">IF(AND($C37="Goal",O$7&gt;=$F37,O$7&lt;=$F37+$G37-1),2,IF(AND($C37="Milestone",O$7&gt;=$F37,O$7&lt;=$F37+$G37-1),1,""))</f>
        <v/>
      </c>
      <c r="P30" s="79" t="str">
        <f aca="false">IF(AND($C37="Goal",P$7&gt;=$F37,P$7&lt;=$F37+$G37-1),2,IF(AND($C37="Milestone",P$7&gt;=$F37,P$7&lt;=$F37+$G37-1),1,""))</f>
        <v/>
      </c>
      <c r="Q30" s="79" t="str">
        <f aca="false">IF(AND($C37="Goal",Q$7&gt;=$F37,Q$7&lt;=$F37+$G37-1),2,IF(AND($C37="Milestone",Q$7&gt;=$F37,Q$7&lt;=$F37+$G37-1),1,""))</f>
        <v/>
      </c>
      <c r="R30" s="79" t="str">
        <f aca="false">IF(AND($C37="Goal",R$7&gt;=$F37,R$7&lt;=$F37+$G37-1),2,IF(AND($C37="Milestone",R$7&gt;=$F37,R$7&lt;=$F37+$G37-1),1,""))</f>
        <v/>
      </c>
      <c r="S30" s="79" t="str">
        <f aca="false">IF(AND($C37="Goal",S$7&gt;=$F37,S$7&lt;=$F37+$G37-1),2,IF(AND($C37="Milestone",S$7&gt;=$F37,S$7&lt;=$F37+$G37-1),1,""))</f>
        <v/>
      </c>
      <c r="T30" s="79" t="str">
        <f aca="false">IF(AND($C37="Goal",T$7&gt;=$F37,T$7&lt;=$F37+$G37-1),2,IF(AND($C37="Milestone",T$7&gt;=$F37,T$7&lt;=$F37+$G37-1),1,""))</f>
        <v/>
      </c>
      <c r="U30" s="79" t="str">
        <f aca="false">IF(AND($C37="Goal",U$7&gt;=$F37,U$7&lt;=$F37+$G37-1),2,IF(AND($C37="Milestone",U$7&gt;=$F37,U$7&lt;=$F37+$G37-1),1,""))</f>
        <v/>
      </c>
      <c r="V30" s="79" t="str">
        <f aca="false">IF(AND($C37="Goal",V$7&gt;=$F37,V$7&lt;=$F37+$G37-1),2,IF(AND($C37="Milestone",V$7&gt;=$F37,V$7&lt;=$F37+$G37-1),1,""))</f>
        <v/>
      </c>
      <c r="W30" s="79" t="str">
        <f aca="false">IF(AND($C37="Goal",W$7&gt;=$F37,W$7&lt;=$F37+$G37-1),2,IF(AND($C37="Milestone",W$7&gt;=$F37,W$7&lt;=$F37+$G37-1),1,""))</f>
        <v/>
      </c>
      <c r="X30" s="79" t="str">
        <f aca="false">IF(AND($C37="Goal",X$7&gt;=$F37,X$7&lt;=$F37+$G37-1),2,IF(AND($C37="Milestone",X$7&gt;=$F37,X$7&lt;=$F37+$G37-1),1,""))</f>
        <v/>
      </c>
      <c r="Y30" s="79" t="str">
        <f aca="false">IF(AND($C37="Goal",Y$7&gt;=$F37,Y$7&lt;=$F37+$G37-1),2,IF(AND($C37="Milestone",Y$7&gt;=$F37,Y$7&lt;=$F37+$G37-1),1,""))</f>
        <v/>
      </c>
      <c r="Z30" s="79" t="str">
        <f aca="false">IF(AND($C37="Goal",Z$7&gt;=$F37,Z$7&lt;=$F37+$G37-1),2,IF(AND($C37="Milestone",Z$7&gt;=$F37,Z$7&lt;=$F37+$G37-1),1,""))</f>
        <v/>
      </c>
      <c r="AA30" s="79" t="str">
        <f aca="false">IF(AND($C37="Goal",AA$7&gt;=$F37,AA$7&lt;=$F37+$G37-1),2,IF(AND($C37="Milestone",AA$7&gt;=$F37,AA$7&lt;=$F37+$G37-1),1,""))</f>
        <v/>
      </c>
      <c r="AB30" s="79" t="str">
        <f aca="false">IF(AND($C37="Goal",AB$7&gt;=$F37,AB$7&lt;=$F37+$G37-1),2,IF(AND($C37="Milestone",AB$7&gt;=$F37,AB$7&lt;=$F37+$G37-1),1,""))</f>
        <v/>
      </c>
      <c r="AC30" s="79" t="str">
        <f aca="false">IF(AND($C37="Goal",AC$7&gt;=$F37,AC$7&lt;=$F37+$G37-1),2,IF(AND($C37="Milestone",AC$7&gt;=$F37,AC$7&lt;=$F37+$G37-1),1,""))</f>
        <v/>
      </c>
      <c r="AD30" s="79" t="str">
        <f aca="false">IF(AND($C37="Goal",AD$7&gt;=$F37,AD$7&lt;=$F37+$G37-1),2,IF(AND($C37="Milestone",AD$7&gt;=$F37,AD$7&lt;=$F37+$G37-1),1,""))</f>
        <v/>
      </c>
      <c r="AE30" s="79" t="str">
        <f aca="false">IF(AND($C37="Goal",AE$7&gt;=$F37,AE$7&lt;=$F37+$G37-1),2,IF(AND($C37="Milestone",AE$7&gt;=$F37,AE$7&lt;=$F37+$G37-1),1,""))</f>
        <v/>
      </c>
      <c r="AF30" s="79" t="str">
        <f aca="false">IF(AND($C37="Goal",AF$7&gt;=$F37,AF$7&lt;=$F37+$G37-1),2,IF(AND($C37="Milestone",AF$7&gt;=$F37,AF$7&lt;=$F37+$G37-1),1,""))</f>
        <v/>
      </c>
      <c r="AG30" s="79" t="str">
        <f aca="false">IF(AND($C37="Goal",AG$7&gt;=$F37,AG$7&lt;=$F37+$G37-1),2,IF(AND($C37="Milestone",AG$7&gt;=$F37,AG$7&lt;=$F37+$G37-1),1,""))</f>
        <v/>
      </c>
      <c r="AH30" s="79" t="str">
        <f aca="false">IF(AND($C37="Goal",AH$7&gt;=$F37,AH$7&lt;=$F37+$G37-1),2,IF(AND($C37="Milestone",AH$7&gt;=$F37,AH$7&lt;=$F37+$G37-1),1,""))</f>
        <v/>
      </c>
      <c r="AI30" s="79" t="str">
        <f aca="false">IF(AND($C37="Goal",AI$7&gt;=$F37,AI$7&lt;=$F37+$G37-1),2,IF(AND($C37="Milestone",AI$7&gt;=$F37,AI$7&lt;=$F37+$G37-1),1,""))</f>
        <v/>
      </c>
      <c r="AJ30" s="79" t="str">
        <f aca="false">IF(AND($C37="Goal",AJ$7&gt;=$F37,AJ$7&lt;=$F37+$G37-1),2,IF(AND($C37="Milestone",AJ$7&gt;=$F37,AJ$7&lt;=$F37+$G37-1),1,""))</f>
        <v/>
      </c>
      <c r="AK30" s="79" t="str">
        <f aca="false">IF(AND($C37="Goal",AK$7&gt;=$F37,AK$7&lt;=$F37+$G37-1),2,IF(AND($C37="Milestone",AK$7&gt;=$F37,AK$7&lt;=$F37+$G37-1),1,""))</f>
        <v/>
      </c>
      <c r="AL30" s="79" t="str">
        <f aca="false">IF(AND($C37="Goal",AL$7&gt;=$F37,AL$7&lt;=$F37+$G37-1),2,IF(AND($C37="Milestone",AL$7&gt;=$F37,AL$7&lt;=$F37+$G37-1),1,""))</f>
        <v/>
      </c>
      <c r="AM30" s="79" t="str">
        <f aca="false">IF(AND($C37="Goal",AM$7&gt;=$F37,AM$7&lt;=$F37+$G37-1),2,IF(AND($C37="Milestone",AM$7&gt;=$F37,AM$7&lt;=$F37+$G37-1),1,""))</f>
        <v/>
      </c>
      <c r="AN30" s="79" t="str">
        <f aca="false">IF(AND($C37="Goal",AN$7&gt;=$F37,AN$7&lt;=$F37+$G37-1),2,IF(AND($C37="Milestone",AN$7&gt;=$F37,AN$7&lt;=$F37+$G37-1),1,""))</f>
        <v/>
      </c>
      <c r="AO30" s="79" t="str">
        <f aca="false">IF(AND($C37="Goal",AO$7&gt;=$F37,AO$7&lt;=$F37+$G37-1),2,IF(AND($C37="Milestone",AO$7&gt;=$F37,AO$7&lt;=$F37+$G37-1),1,""))</f>
        <v/>
      </c>
      <c r="AP30" s="79" t="str">
        <f aca="false">IF(AND($C37="Goal",AP$7&gt;=$F37,AP$7&lt;=$F37+$G37-1),2,IF(AND($C37="Milestone",AP$7&gt;=$F37,AP$7&lt;=$F37+$G37-1),1,""))</f>
        <v/>
      </c>
      <c r="AQ30" s="79" t="str">
        <f aca="false">IF(AND($C37="Goal",AQ$7&gt;=$F37,AQ$7&lt;=$F37+$G37-1),2,IF(AND($C37="Milestone",AQ$7&gt;=$F37,AQ$7&lt;=$F37+$G37-1),1,""))</f>
        <v/>
      </c>
      <c r="AR30" s="79" t="str">
        <f aca="false">IF(AND($C37="Goal",AR$7&gt;=$F37,AR$7&lt;=$F37+$G37-1),2,IF(AND($C37="Milestone",AR$7&gt;=$F37,AR$7&lt;=$F37+$G37-1),1,""))</f>
        <v/>
      </c>
      <c r="AS30" s="79" t="str">
        <f aca="false">IF(AND($C37="Goal",AS$7&gt;=$F37,AS$7&lt;=$F37+$G37-1),2,IF(AND($C37="Milestone",AS$7&gt;=$F37,AS$7&lt;=$F37+$G37-1),1,""))</f>
        <v/>
      </c>
      <c r="AT30" s="79" t="str">
        <f aca="false">IF(AND($C37="Goal",AT$7&gt;=$F37,AT$7&lt;=$F37+$G37-1),2,IF(AND($C37="Milestone",AT$7&gt;=$F37,AT$7&lt;=$F37+$G37-1),1,""))</f>
        <v/>
      </c>
      <c r="AU30" s="79" t="str">
        <f aca="false">IF(AND($C37="Goal",AU$7&gt;=$F37,AU$7&lt;=$F37+$G37-1),2,IF(AND($C37="Milestone",AU$7&gt;=$F37,AU$7&lt;=$F37+$G37-1),1,""))</f>
        <v/>
      </c>
      <c r="AV30" s="79" t="str">
        <f aca="false">IF(AND($C37="Goal",AV$7&gt;=$F37,AV$7&lt;=$F37+$G37-1),2,IF(AND($C37="Milestone",AV$7&gt;=$F37,AV$7&lt;=$F37+$G37-1),1,""))</f>
        <v/>
      </c>
      <c r="AW30" s="79" t="str">
        <f aca="false">IF(AND($C37="Goal",AW$7&gt;=$F37,AW$7&lt;=$F37+$G37-1),2,IF(AND($C37="Milestone",AW$7&gt;=$F37,AW$7&lt;=$F37+$G37-1),1,""))</f>
        <v/>
      </c>
      <c r="AX30" s="79" t="str">
        <f aca="false">IF(AND($C37="Goal",AX$7&gt;=$F37,AX$7&lt;=$F37+$G37-1),2,IF(AND($C37="Milestone",AX$7&gt;=$F37,AX$7&lt;=$F37+$G37-1),1,""))</f>
        <v/>
      </c>
      <c r="AY30" s="79" t="str">
        <f aca="false">IF(AND($C37="Goal",AY$7&gt;=$F37,AY$7&lt;=$F37+$G37-1),2,IF(AND($C37="Milestone",AY$7&gt;=$F37,AY$7&lt;=$F37+$G37-1),1,""))</f>
        <v/>
      </c>
      <c r="AZ30" s="79" t="str">
        <f aca="false">IF(AND($C37="Goal",AZ$7&gt;=$F37,AZ$7&lt;=$F37+$G37-1),2,IF(AND($C37="Milestone",AZ$7&gt;=$F37,AZ$7&lt;=$F37+$G37-1),1,""))</f>
        <v/>
      </c>
      <c r="BA30" s="79" t="str">
        <f aca="false">IF(AND($C37="Goal",BA$7&gt;=$F37,BA$7&lt;=$F37+$G37-1),2,IF(AND($C37="Milestone",BA$7&gt;=$F37,BA$7&lt;=$F37+$G37-1),1,""))</f>
        <v/>
      </c>
      <c r="BB30" s="79" t="str">
        <f aca="false">IF(AND($C37="Goal",BB$7&gt;=$F37,BB$7&lt;=$F37+$G37-1),2,IF(AND($C37="Milestone",BB$7&gt;=$F37,BB$7&lt;=$F37+$G37-1),1,""))</f>
        <v/>
      </c>
      <c r="BC30" s="79" t="str">
        <f aca="false">IF(AND($C37="Goal",BC$7&gt;=$F37,BC$7&lt;=$F37+$G37-1),2,IF(AND($C37="Milestone",BC$7&gt;=$F37,BC$7&lt;=$F37+$G37-1),1,""))</f>
        <v/>
      </c>
      <c r="BD30" s="79" t="str">
        <f aca="false">IF(AND($C37="Goal",BD$7&gt;=$F37,BD$7&lt;=$F37+$G37-1),2,IF(AND($C37="Milestone",BD$7&gt;=$F37,BD$7&lt;=$F37+$G37-1),1,""))</f>
        <v/>
      </c>
      <c r="BE30" s="79" t="str">
        <f aca="false">IF(AND($C37="Goal",BE$7&gt;=$F37,BE$7&lt;=$F37+$G37-1),2,IF(AND($C37="Milestone",BE$7&gt;=$F37,BE$7&lt;=$F37+$G37-1),1,""))</f>
        <v/>
      </c>
      <c r="BF30" s="79" t="str">
        <f aca="false">IF(AND($C37="Goal",BF$7&gt;=$F37,BF$7&lt;=$F37+$G37-1),2,IF(AND($C37="Milestone",BF$7&gt;=$F37,BF$7&lt;=$F37+$G37-1),1,""))</f>
        <v/>
      </c>
      <c r="BG30" s="79" t="str">
        <f aca="false">IF(AND($C37="Goal",BG$7&gt;=$F37,BG$7&lt;=$F37+$G37-1),2,IF(AND($C37="Milestone",BG$7&gt;=$F37,BG$7&lt;=$F37+$G37-1),1,""))</f>
        <v/>
      </c>
      <c r="BH30" s="79" t="str">
        <f aca="false">IF(AND($C37="Goal",BH$7&gt;=$F37,BH$7&lt;=$F37+$G37-1),2,IF(AND($C37="Milestone",BH$7&gt;=$F37,BH$7&lt;=$F37+$G37-1),1,""))</f>
        <v/>
      </c>
      <c r="BI30" s="79" t="str">
        <f aca="false">IF(AND($C37="Goal",BI$7&gt;=$F37,BI$7&lt;=$F37+$G37-1),2,IF(AND($C37="Milestone",BI$7&gt;=$F37,BI$7&lt;=$F37+$G37-1),1,""))</f>
        <v/>
      </c>
      <c r="BJ30" s="79" t="str">
        <f aca="false">IF(AND($C37="Goal",BJ$7&gt;=$F37,BJ$7&lt;=$F37+$G37-1),2,IF(AND($C37="Milestone",BJ$7&gt;=$F37,BJ$7&lt;=$F37+$G37-1),1,""))</f>
        <v/>
      </c>
      <c r="BK30" s="79" t="str">
        <f aca="false">IF(AND($C37="Goal",BK$7&gt;=$F37,BK$7&lt;=$F37+$G37-1),2,IF(AND($C37="Milestone",BK$7&gt;=$F37,BK$7&lt;=$F37+$G37-1),1,""))</f>
        <v/>
      </c>
      <c r="BL30" s="79" t="str">
        <f aca="false">IF(AND($C37="Goal",BL$7&gt;=$F37,BL$7&lt;=$F37+$G37-1),2,IF(AND($C37="Milestone",BL$7&gt;=$F37,BL$7&lt;=$F37+$G37-1),1,""))</f>
        <v/>
      </c>
    </row>
    <row r="31" s="25" customFormat="true" ht="39.75" hidden="false" customHeight="true" outlineLevel="0" collapsed="false">
      <c r="A31" s="13"/>
      <c r="B31" s="80" t="s">
        <v>45</v>
      </c>
      <c r="C31" s="67" t="s">
        <v>35</v>
      </c>
      <c r="D31" s="67" t="s">
        <v>26</v>
      </c>
      <c r="E31" s="68" t="n">
        <v>1</v>
      </c>
      <c r="F31" s="69" t="n">
        <v>45931</v>
      </c>
      <c r="G31" s="70" t="n">
        <v>7</v>
      </c>
      <c r="H31" s="67"/>
      <c r="I31" s="79" t="str">
        <f aca="false">IF(AND($C38="Goal",I$7&gt;=$F38,I$7&lt;=$F38+$G38-1),2,IF(AND($C38="Milestone",I$7&gt;=$F38,I$7&lt;=$F38+$G38-1),1,""))</f>
        <v/>
      </c>
      <c r="J31" s="79" t="str">
        <f aca="false">IF(AND($C38="Goal",J$7&gt;=$F38,J$7&lt;=$F38+$G38-1),2,IF(AND($C38="Milestone",J$7&gt;=$F38,J$7&lt;=$F38+$G38-1),1,""))</f>
        <v/>
      </c>
      <c r="K31" s="79" t="str">
        <f aca="false">IF(AND($C38="Goal",K$7&gt;=$F38,K$7&lt;=$F38+$G38-1),2,IF(AND($C38="Milestone",K$7&gt;=$F38,K$7&lt;=$F38+$G38-1),1,""))</f>
        <v/>
      </c>
      <c r="L31" s="79" t="str">
        <f aca="false">IF(AND($C38="Goal",L$7&gt;=$F38,L$7&lt;=$F38+$G38-1),2,IF(AND($C38="Milestone",L$7&gt;=$F38,L$7&lt;=$F38+$G38-1),1,""))</f>
        <v/>
      </c>
      <c r="M31" s="79" t="str">
        <f aca="false">IF(AND($C38="Goal",M$7&gt;=$F38,M$7&lt;=$F38+$G38-1),2,IF(AND($C38="Milestone",M$7&gt;=$F38,M$7&lt;=$F38+$G38-1),1,""))</f>
        <v/>
      </c>
      <c r="N31" s="79" t="str">
        <f aca="false">IF(AND($C38="Goal",N$7&gt;=$F38,N$7&lt;=$F38+$G38-1),2,IF(AND($C38="Milestone",N$7&gt;=$F38,N$7&lt;=$F38+$G38-1),1,""))</f>
        <v/>
      </c>
      <c r="O31" s="79" t="str">
        <f aca="false">IF(AND($C38="Goal",O$7&gt;=$F38,O$7&lt;=$F38+$G38-1),2,IF(AND($C38="Milestone",O$7&gt;=$F38,O$7&lt;=$F38+$G38-1),1,""))</f>
        <v/>
      </c>
      <c r="P31" s="79" t="str">
        <f aca="false">IF(AND($C38="Goal",P$7&gt;=$F38,P$7&lt;=$F38+$G38-1),2,IF(AND($C38="Milestone",P$7&gt;=$F38,P$7&lt;=$F38+$G38-1),1,""))</f>
        <v/>
      </c>
      <c r="Q31" s="79" t="str">
        <f aca="false">IF(AND($C38="Goal",Q$7&gt;=$F38,Q$7&lt;=$F38+$G38-1),2,IF(AND($C38="Milestone",Q$7&gt;=$F38,Q$7&lt;=$F38+$G38-1),1,""))</f>
        <v/>
      </c>
      <c r="R31" s="79" t="str">
        <f aca="false">IF(AND($C38="Goal",R$7&gt;=$F38,R$7&lt;=$F38+$G38-1),2,IF(AND($C38="Milestone",R$7&gt;=$F38,R$7&lt;=$F38+$G38-1),1,""))</f>
        <v/>
      </c>
      <c r="S31" s="79" t="str">
        <f aca="false">IF(AND($C38="Goal",S$7&gt;=$F38,S$7&lt;=$F38+$G38-1),2,IF(AND($C38="Milestone",S$7&gt;=$F38,S$7&lt;=$F38+$G38-1),1,""))</f>
        <v/>
      </c>
      <c r="T31" s="79" t="str">
        <f aca="false">IF(AND($C38="Goal",T$7&gt;=$F38,T$7&lt;=$F38+$G38-1),2,IF(AND($C38="Milestone",T$7&gt;=$F38,T$7&lt;=$F38+$G38-1),1,""))</f>
        <v/>
      </c>
      <c r="U31" s="79" t="str">
        <f aca="false">IF(AND($C38="Goal",U$7&gt;=$F38,U$7&lt;=$F38+$G38-1),2,IF(AND($C38="Milestone",U$7&gt;=$F38,U$7&lt;=$F38+$G38-1),1,""))</f>
        <v/>
      </c>
      <c r="V31" s="79" t="str">
        <f aca="false">IF(AND($C38="Goal",V$7&gt;=$F38,V$7&lt;=$F38+$G38-1),2,IF(AND($C38="Milestone",V$7&gt;=$F38,V$7&lt;=$F38+$G38-1),1,""))</f>
        <v/>
      </c>
      <c r="W31" s="79" t="str">
        <f aca="false">IF(AND($C38="Goal",W$7&gt;=$F38,W$7&lt;=$F38+$G38-1),2,IF(AND($C38="Milestone",W$7&gt;=$F38,W$7&lt;=$F38+$G38-1),1,""))</f>
        <v/>
      </c>
      <c r="X31" s="79" t="str">
        <f aca="false">IF(AND($C38="Goal",X$7&gt;=$F38,X$7&lt;=$F38+$G38-1),2,IF(AND($C38="Milestone",X$7&gt;=$F38,X$7&lt;=$F38+$G38-1),1,""))</f>
        <v/>
      </c>
      <c r="Y31" s="79" t="str">
        <f aca="false">IF(AND($C38="Goal",Y$7&gt;=$F38,Y$7&lt;=$F38+$G38-1),2,IF(AND($C38="Milestone",Y$7&gt;=$F38,Y$7&lt;=$F38+$G38-1),1,""))</f>
        <v/>
      </c>
      <c r="Z31" s="79" t="str">
        <f aca="false">IF(AND($C38="Goal",Z$7&gt;=$F38,Z$7&lt;=$F38+$G38-1),2,IF(AND($C38="Milestone",Z$7&gt;=$F38,Z$7&lt;=$F38+$G38-1),1,""))</f>
        <v/>
      </c>
      <c r="AA31" s="79" t="str">
        <f aca="false">IF(AND($C38="Goal",AA$7&gt;=$F38,AA$7&lt;=$F38+$G38-1),2,IF(AND($C38="Milestone",AA$7&gt;=$F38,AA$7&lt;=$F38+$G38-1),1,""))</f>
        <v/>
      </c>
      <c r="AB31" s="79" t="str">
        <f aca="false">IF(AND($C38="Goal",AB$7&gt;=$F38,AB$7&lt;=$F38+$G38-1),2,IF(AND($C38="Milestone",AB$7&gt;=$F38,AB$7&lt;=$F38+$G38-1),1,""))</f>
        <v/>
      </c>
      <c r="AC31" s="79" t="str">
        <f aca="false">IF(AND($C38="Goal",AC$7&gt;=$F38,AC$7&lt;=$F38+$G38-1),2,IF(AND($C38="Milestone",AC$7&gt;=$F38,AC$7&lt;=$F38+$G38-1),1,""))</f>
        <v/>
      </c>
      <c r="AD31" s="79" t="str">
        <f aca="false">IF(AND($C38="Goal",AD$7&gt;=$F38,AD$7&lt;=$F38+$G38-1),2,IF(AND($C38="Milestone",AD$7&gt;=$F38,AD$7&lt;=$F38+$G38-1),1,""))</f>
        <v/>
      </c>
      <c r="AE31" s="79" t="str">
        <f aca="false">IF(AND($C38="Goal",AE$7&gt;=$F38,AE$7&lt;=$F38+$G38-1),2,IF(AND($C38="Milestone",AE$7&gt;=$F38,AE$7&lt;=$F38+$G38-1),1,""))</f>
        <v/>
      </c>
      <c r="AF31" s="79" t="str">
        <f aca="false">IF(AND($C38="Goal",AF$7&gt;=$F38,AF$7&lt;=$F38+$G38-1),2,IF(AND($C38="Milestone",AF$7&gt;=$F38,AF$7&lt;=$F38+$G38-1),1,""))</f>
        <v/>
      </c>
      <c r="AG31" s="79" t="str">
        <f aca="false">IF(AND($C38="Goal",AG$7&gt;=$F38,AG$7&lt;=$F38+$G38-1),2,IF(AND($C38="Milestone",AG$7&gt;=$F38,AG$7&lt;=$F38+$G38-1),1,""))</f>
        <v/>
      </c>
      <c r="AH31" s="79" t="str">
        <f aca="false">IF(AND($C38="Goal",AH$7&gt;=$F38,AH$7&lt;=$F38+$G38-1),2,IF(AND($C38="Milestone",AH$7&gt;=$F38,AH$7&lt;=$F38+$G38-1),1,""))</f>
        <v/>
      </c>
      <c r="AI31" s="79" t="str">
        <f aca="false">IF(AND($C38="Goal",AI$7&gt;=$F38,AI$7&lt;=$F38+$G38-1),2,IF(AND($C38="Milestone",AI$7&gt;=$F38,AI$7&lt;=$F38+$G38-1),1,""))</f>
        <v/>
      </c>
      <c r="AJ31" s="79" t="str">
        <f aca="false">IF(AND($C38="Goal",AJ$7&gt;=$F38,AJ$7&lt;=$F38+$G38-1),2,IF(AND($C38="Milestone",AJ$7&gt;=$F38,AJ$7&lt;=$F38+$G38-1),1,""))</f>
        <v/>
      </c>
      <c r="AK31" s="79" t="str">
        <f aca="false">IF(AND($C38="Goal",AK$7&gt;=$F38,AK$7&lt;=$F38+$G38-1),2,IF(AND($C38="Milestone",AK$7&gt;=$F38,AK$7&lt;=$F38+$G38-1),1,""))</f>
        <v/>
      </c>
      <c r="AL31" s="79" t="str">
        <f aca="false">IF(AND($C38="Goal",AL$7&gt;=$F38,AL$7&lt;=$F38+$G38-1),2,IF(AND($C38="Milestone",AL$7&gt;=$F38,AL$7&lt;=$F38+$G38-1),1,""))</f>
        <v/>
      </c>
      <c r="AM31" s="79" t="str">
        <f aca="false">IF(AND($C38="Goal",AM$7&gt;=$F38,AM$7&lt;=$F38+$G38-1),2,IF(AND($C38="Milestone",AM$7&gt;=$F38,AM$7&lt;=$F38+$G38-1),1,""))</f>
        <v/>
      </c>
      <c r="AN31" s="79" t="str">
        <f aca="false">IF(AND($C38="Goal",AN$7&gt;=$F38,AN$7&lt;=$F38+$G38-1),2,IF(AND($C38="Milestone",AN$7&gt;=$F38,AN$7&lt;=$F38+$G38-1),1,""))</f>
        <v/>
      </c>
      <c r="AO31" s="79" t="str">
        <f aca="false">IF(AND($C38="Goal",AO$7&gt;=$F38,AO$7&lt;=$F38+$G38-1),2,IF(AND($C38="Milestone",AO$7&gt;=$F38,AO$7&lt;=$F38+$G38-1),1,""))</f>
        <v/>
      </c>
      <c r="AP31" s="79" t="str">
        <f aca="false">IF(AND($C38="Goal",AP$7&gt;=$F38,AP$7&lt;=$F38+$G38-1),2,IF(AND($C38="Milestone",AP$7&gt;=$F38,AP$7&lt;=$F38+$G38-1),1,""))</f>
        <v/>
      </c>
      <c r="AQ31" s="79" t="str">
        <f aca="false">IF(AND($C38="Goal",AQ$7&gt;=$F38,AQ$7&lt;=$F38+$G38-1),2,IF(AND($C38="Milestone",AQ$7&gt;=$F38,AQ$7&lt;=$F38+$G38-1),1,""))</f>
        <v/>
      </c>
      <c r="AR31" s="79" t="str">
        <f aca="false">IF(AND($C38="Goal",AR$7&gt;=$F38,AR$7&lt;=$F38+$G38-1),2,IF(AND($C38="Milestone",AR$7&gt;=$F38,AR$7&lt;=$F38+$G38-1),1,""))</f>
        <v/>
      </c>
      <c r="AS31" s="79" t="str">
        <f aca="false">IF(AND($C38="Goal",AS$7&gt;=$F38,AS$7&lt;=$F38+$G38-1),2,IF(AND($C38="Milestone",AS$7&gt;=$F38,AS$7&lt;=$F38+$G38-1),1,""))</f>
        <v/>
      </c>
      <c r="AT31" s="79" t="str">
        <f aca="false">IF(AND($C38="Goal",AT$7&gt;=$F38,AT$7&lt;=$F38+$G38-1),2,IF(AND($C38="Milestone",AT$7&gt;=$F38,AT$7&lt;=$F38+$G38-1),1,""))</f>
        <v/>
      </c>
      <c r="AU31" s="79" t="str">
        <f aca="false">IF(AND($C38="Goal",AU$7&gt;=$F38,AU$7&lt;=$F38+$G38-1),2,IF(AND($C38="Milestone",AU$7&gt;=$F38,AU$7&lt;=$F38+$G38-1),1,""))</f>
        <v/>
      </c>
      <c r="AV31" s="79" t="str">
        <f aca="false">IF(AND($C38="Goal",AV$7&gt;=$F38,AV$7&lt;=$F38+$G38-1),2,IF(AND($C38="Milestone",AV$7&gt;=$F38,AV$7&lt;=$F38+$G38-1),1,""))</f>
        <v/>
      </c>
      <c r="AW31" s="79" t="str">
        <f aca="false">IF(AND($C38="Goal",AW$7&gt;=$F38,AW$7&lt;=$F38+$G38-1),2,IF(AND($C38="Milestone",AW$7&gt;=$F38,AW$7&lt;=$F38+$G38-1),1,""))</f>
        <v/>
      </c>
      <c r="AX31" s="79" t="str">
        <f aca="false">IF(AND($C38="Goal",AX$7&gt;=$F38,AX$7&lt;=$F38+$G38-1),2,IF(AND($C38="Milestone",AX$7&gt;=$F38,AX$7&lt;=$F38+$G38-1),1,""))</f>
        <v/>
      </c>
      <c r="AY31" s="79" t="str">
        <f aca="false">IF(AND($C38="Goal",AY$7&gt;=$F38,AY$7&lt;=$F38+$G38-1),2,IF(AND($C38="Milestone",AY$7&gt;=$F38,AY$7&lt;=$F38+$G38-1),1,""))</f>
        <v/>
      </c>
      <c r="AZ31" s="79" t="str">
        <f aca="false">IF(AND($C38="Goal",AZ$7&gt;=$F38,AZ$7&lt;=$F38+$G38-1),2,IF(AND($C38="Milestone",AZ$7&gt;=$F38,AZ$7&lt;=$F38+$G38-1),1,""))</f>
        <v/>
      </c>
      <c r="BA31" s="79" t="str">
        <f aca="false">IF(AND($C38="Goal",BA$7&gt;=$F38,BA$7&lt;=$F38+$G38-1),2,IF(AND($C38="Milestone",BA$7&gt;=$F38,BA$7&lt;=$F38+$G38-1),1,""))</f>
        <v/>
      </c>
      <c r="BB31" s="79" t="str">
        <f aca="false">IF(AND($C38="Goal",BB$7&gt;=$F38,BB$7&lt;=$F38+$G38-1),2,IF(AND($C38="Milestone",BB$7&gt;=$F38,BB$7&lt;=$F38+$G38-1),1,""))</f>
        <v/>
      </c>
      <c r="BC31" s="79" t="str">
        <f aca="false">IF(AND($C38="Goal",BC$7&gt;=$F38,BC$7&lt;=$F38+$G38-1),2,IF(AND($C38="Milestone",BC$7&gt;=$F38,BC$7&lt;=$F38+$G38-1),1,""))</f>
        <v/>
      </c>
      <c r="BD31" s="79" t="str">
        <f aca="false">IF(AND($C38="Goal",BD$7&gt;=$F38,BD$7&lt;=$F38+$G38-1),2,IF(AND($C38="Milestone",BD$7&gt;=$F38,BD$7&lt;=$F38+$G38-1),1,""))</f>
        <v/>
      </c>
      <c r="BE31" s="79" t="str">
        <f aca="false">IF(AND($C38="Goal",BE$7&gt;=$F38,BE$7&lt;=$F38+$G38-1),2,IF(AND($C38="Milestone",BE$7&gt;=$F38,BE$7&lt;=$F38+$G38-1),1,""))</f>
        <v/>
      </c>
      <c r="BF31" s="79" t="str">
        <f aca="false">IF(AND($C38="Goal",BF$7&gt;=$F38,BF$7&lt;=$F38+$G38-1),2,IF(AND($C38="Milestone",BF$7&gt;=$F38,BF$7&lt;=$F38+$G38-1),1,""))</f>
        <v/>
      </c>
      <c r="BG31" s="79" t="str">
        <f aca="false">IF(AND($C38="Goal",BG$7&gt;=$F38,BG$7&lt;=$F38+$G38-1),2,IF(AND($C38="Milestone",BG$7&gt;=$F38,BG$7&lt;=$F38+$G38-1),1,""))</f>
        <v/>
      </c>
      <c r="BH31" s="79" t="str">
        <f aca="false">IF(AND($C38="Goal",BH$7&gt;=$F38,BH$7&lt;=$F38+$G38-1),2,IF(AND($C38="Milestone",BH$7&gt;=$F38,BH$7&lt;=$F38+$G38-1),1,""))</f>
        <v/>
      </c>
      <c r="BI31" s="79" t="str">
        <f aca="false">IF(AND($C38="Goal",BI$7&gt;=$F38,BI$7&lt;=$F38+$G38-1),2,IF(AND($C38="Milestone",BI$7&gt;=$F38,BI$7&lt;=$F38+$G38-1),1,""))</f>
        <v/>
      </c>
      <c r="BJ31" s="79" t="str">
        <f aca="false">IF(AND($C38="Goal",BJ$7&gt;=$F38,BJ$7&lt;=$F38+$G38-1),2,IF(AND($C38="Milestone",BJ$7&gt;=$F38,BJ$7&lt;=$F38+$G38-1),1,""))</f>
        <v/>
      </c>
      <c r="BK31" s="79" t="str">
        <f aca="false">IF(AND($C38="Goal",BK$7&gt;=$F38,BK$7&lt;=$F38+$G38-1),2,IF(AND($C38="Milestone",BK$7&gt;=$F38,BK$7&lt;=$F38+$G38-1),1,""))</f>
        <v/>
      </c>
      <c r="BL31" s="79" t="str">
        <f aca="false">IF(AND($C38="Goal",BL$7&gt;=$F38,BL$7&lt;=$F38+$G38-1),2,IF(AND($C38="Milestone",BL$7&gt;=$F38,BL$7&lt;=$F38+$G38-1),1,""))</f>
        <v/>
      </c>
    </row>
    <row r="32" s="25" customFormat="true" ht="39.75" hidden="false" customHeight="true" outlineLevel="0" collapsed="false">
      <c r="A32" s="13"/>
      <c r="B32" s="81" t="s">
        <v>46</v>
      </c>
      <c r="C32" s="67" t="s">
        <v>23</v>
      </c>
      <c r="D32" s="67" t="s">
        <v>26</v>
      </c>
      <c r="E32" s="68" t="n">
        <v>1</v>
      </c>
      <c r="F32" s="69" t="n">
        <v>45951</v>
      </c>
      <c r="G32" s="70" t="n">
        <v>7</v>
      </c>
      <c r="H32" s="67"/>
      <c r="I32" s="79" t="str">
        <f aca="false">IF(AND($C39="Goal",I$7&gt;=$F39,I$7&lt;=$F39+$G39-1),2,IF(AND($C39="Milestone",I$7&gt;=$F39,I$7&lt;=$F39+$G39-1),1,""))</f>
        <v/>
      </c>
      <c r="J32" s="79" t="str">
        <f aca="false">IF(AND($C39="Goal",J$7&gt;=$F39,J$7&lt;=$F39+$G39-1),2,IF(AND($C39="Milestone",J$7&gt;=$F39,J$7&lt;=$F39+$G39-1),1,""))</f>
        <v/>
      </c>
      <c r="K32" s="79" t="str">
        <f aca="false">IF(AND($C39="Goal",K$7&gt;=$F39,K$7&lt;=$F39+$G39-1),2,IF(AND($C39="Milestone",K$7&gt;=$F39,K$7&lt;=$F39+$G39-1),1,""))</f>
        <v/>
      </c>
      <c r="L32" s="79" t="str">
        <f aca="false">IF(AND($C39="Goal",L$7&gt;=$F39,L$7&lt;=$F39+$G39-1),2,IF(AND($C39="Milestone",L$7&gt;=$F39,L$7&lt;=$F39+$G39-1),1,""))</f>
        <v/>
      </c>
      <c r="M32" s="79" t="str">
        <f aca="false">IF(AND($C39="Goal",M$7&gt;=$F39,M$7&lt;=$F39+$G39-1),2,IF(AND($C39="Milestone",M$7&gt;=$F39,M$7&lt;=$F39+$G39-1),1,""))</f>
        <v/>
      </c>
      <c r="N32" s="79" t="str">
        <f aca="false">IF(AND($C39="Goal",N$7&gt;=$F39,N$7&lt;=$F39+$G39-1),2,IF(AND($C39="Milestone",N$7&gt;=$F39,N$7&lt;=$F39+$G39-1),1,""))</f>
        <v/>
      </c>
      <c r="O32" s="79" t="str">
        <f aca="false">IF(AND($C39="Goal",O$7&gt;=$F39,O$7&lt;=$F39+$G39-1),2,IF(AND($C39="Milestone",O$7&gt;=$F39,O$7&lt;=$F39+$G39-1),1,""))</f>
        <v/>
      </c>
      <c r="P32" s="79" t="str">
        <f aca="false">IF(AND($C39="Goal",P$7&gt;=$F39,P$7&lt;=$F39+$G39-1),2,IF(AND($C39="Milestone",P$7&gt;=$F39,P$7&lt;=$F39+$G39-1),1,""))</f>
        <v/>
      </c>
      <c r="Q32" s="79" t="str">
        <f aca="false">IF(AND($C39="Goal",Q$7&gt;=$F39,Q$7&lt;=$F39+$G39-1),2,IF(AND($C39="Milestone",Q$7&gt;=$F39,Q$7&lt;=$F39+$G39-1),1,""))</f>
        <v/>
      </c>
      <c r="R32" s="79" t="str">
        <f aca="false">IF(AND($C39="Goal",R$7&gt;=$F39,R$7&lt;=$F39+$G39-1),2,IF(AND($C39="Milestone",R$7&gt;=$F39,R$7&lt;=$F39+$G39-1),1,""))</f>
        <v/>
      </c>
      <c r="S32" s="79" t="str">
        <f aca="false">IF(AND($C39="Goal",S$7&gt;=$F39,S$7&lt;=$F39+$G39-1),2,IF(AND($C39="Milestone",S$7&gt;=$F39,S$7&lt;=$F39+$G39-1),1,""))</f>
        <v/>
      </c>
      <c r="T32" s="79" t="str">
        <f aca="false">IF(AND($C39="Goal",T$7&gt;=$F39,T$7&lt;=$F39+$G39-1),2,IF(AND($C39="Milestone",T$7&gt;=$F39,T$7&lt;=$F39+$G39-1),1,""))</f>
        <v/>
      </c>
      <c r="U32" s="79" t="str">
        <f aca="false">IF(AND($C39="Goal",U$7&gt;=$F39,U$7&lt;=$F39+$G39-1),2,IF(AND($C39="Milestone",U$7&gt;=$F39,U$7&lt;=$F39+$G39-1),1,""))</f>
        <v/>
      </c>
      <c r="V32" s="79" t="str">
        <f aca="false">IF(AND($C39="Goal",V$7&gt;=$F39,V$7&lt;=$F39+$G39-1),2,IF(AND($C39="Milestone",V$7&gt;=$F39,V$7&lt;=$F39+$G39-1),1,""))</f>
        <v/>
      </c>
      <c r="W32" s="79" t="str">
        <f aca="false">IF(AND($C39="Goal",W$7&gt;=$F39,W$7&lt;=$F39+$G39-1),2,IF(AND($C39="Milestone",W$7&gt;=$F39,W$7&lt;=$F39+$G39-1),1,""))</f>
        <v/>
      </c>
      <c r="X32" s="79" t="str">
        <f aca="false">IF(AND($C39="Goal",X$7&gt;=$F39,X$7&lt;=$F39+$G39-1),2,IF(AND($C39="Milestone",X$7&gt;=$F39,X$7&lt;=$F39+$G39-1),1,""))</f>
        <v/>
      </c>
      <c r="Y32" s="79" t="str">
        <f aca="false">IF(AND($C39="Goal",Y$7&gt;=$F39,Y$7&lt;=$F39+$G39-1),2,IF(AND($C39="Milestone",Y$7&gt;=$F39,Y$7&lt;=$F39+$G39-1),1,""))</f>
        <v/>
      </c>
      <c r="Z32" s="79" t="str">
        <f aca="false">IF(AND($C39="Goal",Z$7&gt;=$F39,Z$7&lt;=$F39+$G39-1),2,IF(AND($C39="Milestone",Z$7&gt;=$F39,Z$7&lt;=$F39+$G39-1),1,""))</f>
        <v/>
      </c>
      <c r="AA32" s="79" t="str">
        <f aca="false">IF(AND($C39="Goal",AA$7&gt;=$F39,AA$7&lt;=$F39+$G39-1),2,IF(AND($C39="Milestone",AA$7&gt;=$F39,AA$7&lt;=$F39+$G39-1),1,""))</f>
        <v/>
      </c>
      <c r="AB32" s="79" t="str">
        <f aca="false">IF(AND($C39="Goal",AB$7&gt;=$F39,AB$7&lt;=$F39+$G39-1),2,IF(AND($C39="Milestone",AB$7&gt;=$F39,AB$7&lt;=$F39+$G39-1),1,""))</f>
        <v/>
      </c>
      <c r="AC32" s="79" t="str">
        <f aca="false">IF(AND($C39="Goal",AC$7&gt;=$F39,AC$7&lt;=$F39+$G39-1),2,IF(AND($C39="Milestone",AC$7&gt;=$F39,AC$7&lt;=$F39+$G39-1),1,""))</f>
        <v/>
      </c>
      <c r="AD32" s="79" t="str">
        <f aca="false">IF(AND($C39="Goal",AD$7&gt;=$F39,AD$7&lt;=$F39+$G39-1),2,IF(AND($C39="Milestone",AD$7&gt;=$F39,AD$7&lt;=$F39+$G39-1),1,""))</f>
        <v/>
      </c>
      <c r="AE32" s="79" t="str">
        <f aca="false">IF(AND($C39="Goal",AE$7&gt;=$F39,AE$7&lt;=$F39+$G39-1),2,IF(AND($C39="Milestone",AE$7&gt;=$F39,AE$7&lt;=$F39+$G39-1),1,""))</f>
        <v/>
      </c>
      <c r="AF32" s="79" t="str">
        <f aca="false">IF(AND($C39="Goal",AF$7&gt;=$F39,AF$7&lt;=$F39+$G39-1),2,IF(AND($C39="Milestone",AF$7&gt;=$F39,AF$7&lt;=$F39+$G39-1),1,""))</f>
        <v/>
      </c>
      <c r="AG32" s="79" t="str">
        <f aca="false">IF(AND($C39="Goal",AG$7&gt;=$F39,AG$7&lt;=$F39+$G39-1),2,IF(AND($C39="Milestone",AG$7&gt;=$F39,AG$7&lt;=$F39+$G39-1),1,""))</f>
        <v/>
      </c>
      <c r="AH32" s="79" t="str">
        <f aca="false">IF(AND($C39="Goal",AH$7&gt;=$F39,AH$7&lt;=$F39+$G39-1),2,IF(AND($C39="Milestone",AH$7&gt;=$F39,AH$7&lt;=$F39+$G39-1),1,""))</f>
        <v/>
      </c>
      <c r="AI32" s="79" t="str">
        <f aca="false">IF(AND($C39="Goal",AI$7&gt;=$F39,AI$7&lt;=$F39+$G39-1),2,IF(AND($C39="Milestone",AI$7&gt;=$F39,AI$7&lt;=$F39+$G39-1),1,""))</f>
        <v/>
      </c>
      <c r="AJ32" s="79" t="str">
        <f aca="false">IF(AND($C39="Goal",AJ$7&gt;=$F39,AJ$7&lt;=$F39+$G39-1),2,IF(AND($C39="Milestone",AJ$7&gt;=$F39,AJ$7&lt;=$F39+$G39-1),1,""))</f>
        <v/>
      </c>
      <c r="AK32" s="79" t="str">
        <f aca="false">IF(AND($C39="Goal",AK$7&gt;=$F39,AK$7&lt;=$F39+$G39-1),2,IF(AND($C39="Milestone",AK$7&gt;=$F39,AK$7&lt;=$F39+$G39-1),1,""))</f>
        <v/>
      </c>
      <c r="AL32" s="79" t="str">
        <f aca="false">IF(AND($C39="Goal",AL$7&gt;=$F39,AL$7&lt;=$F39+$G39-1),2,IF(AND($C39="Milestone",AL$7&gt;=$F39,AL$7&lt;=$F39+$G39-1),1,""))</f>
        <v/>
      </c>
      <c r="AM32" s="79" t="str">
        <f aca="false">IF(AND($C39="Goal",AM$7&gt;=$F39,AM$7&lt;=$F39+$G39-1),2,IF(AND($C39="Milestone",AM$7&gt;=$F39,AM$7&lt;=$F39+$G39-1),1,""))</f>
        <v/>
      </c>
      <c r="AN32" s="79" t="str">
        <f aca="false">IF(AND($C39="Goal",AN$7&gt;=$F39,AN$7&lt;=$F39+$G39-1),2,IF(AND($C39="Milestone",AN$7&gt;=$F39,AN$7&lt;=$F39+$G39-1),1,""))</f>
        <v/>
      </c>
      <c r="AO32" s="79" t="str">
        <f aca="false">IF(AND($C39="Goal",AO$7&gt;=$F39,AO$7&lt;=$F39+$G39-1),2,IF(AND($C39="Milestone",AO$7&gt;=$F39,AO$7&lt;=$F39+$G39-1),1,""))</f>
        <v/>
      </c>
      <c r="AP32" s="79" t="str">
        <f aca="false">IF(AND($C39="Goal",AP$7&gt;=$F39,AP$7&lt;=$F39+$G39-1),2,IF(AND($C39="Milestone",AP$7&gt;=$F39,AP$7&lt;=$F39+$G39-1),1,""))</f>
        <v/>
      </c>
      <c r="AQ32" s="79" t="str">
        <f aca="false">IF(AND($C39="Goal",AQ$7&gt;=$F39,AQ$7&lt;=$F39+$G39-1),2,IF(AND($C39="Milestone",AQ$7&gt;=$F39,AQ$7&lt;=$F39+$G39-1),1,""))</f>
        <v/>
      </c>
      <c r="AR32" s="79" t="str">
        <f aca="false">IF(AND($C39="Goal",AR$7&gt;=$F39,AR$7&lt;=$F39+$G39-1),2,IF(AND($C39="Milestone",AR$7&gt;=$F39,AR$7&lt;=$F39+$G39-1),1,""))</f>
        <v/>
      </c>
      <c r="AS32" s="79" t="str">
        <f aca="false">IF(AND($C39="Goal",AS$7&gt;=$F39,AS$7&lt;=$F39+$G39-1),2,IF(AND($C39="Milestone",AS$7&gt;=$F39,AS$7&lt;=$F39+$G39-1),1,""))</f>
        <v/>
      </c>
      <c r="AT32" s="79" t="str">
        <f aca="false">IF(AND($C39="Goal",AT$7&gt;=$F39,AT$7&lt;=$F39+$G39-1),2,IF(AND($C39="Milestone",AT$7&gt;=$F39,AT$7&lt;=$F39+$G39-1),1,""))</f>
        <v/>
      </c>
      <c r="AU32" s="79" t="str">
        <f aca="false">IF(AND($C39="Goal",AU$7&gt;=$F39,AU$7&lt;=$F39+$G39-1),2,IF(AND($C39="Milestone",AU$7&gt;=$F39,AU$7&lt;=$F39+$G39-1),1,""))</f>
        <v/>
      </c>
      <c r="AV32" s="79" t="str">
        <f aca="false">IF(AND($C39="Goal",AV$7&gt;=$F39,AV$7&lt;=$F39+$G39-1),2,IF(AND($C39="Milestone",AV$7&gt;=$F39,AV$7&lt;=$F39+$G39-1),1,""))</f>
        <v/>
      </c>
      <c r="AW32" s="79" t="str">
        <f aca="false">IF(AND($C39="Goal",AW$7&gt;=$F39,AW$7&lt;=$F39+$G39-1),2,IF(AND($C39="Milestone",AW$7&gt;=$F39,AW$7&lt;=$F39+$G39-1),1,""))</f>
        <v/>
      </c>
      <c r="AX32" s="79" t="str">
        <f aca="false">IF(AND($C39="Goal",AX$7&gt;=$F39,AX$7&lt;=$F39+$G39-1),2,IF(AND($C39="Milestone",AX$7&gt;=$F39,AX$7&lt;=$F39+$G39-1),1,""))</f>
        <v/>
      </c>
      <c r="AY32" s="79" t="str">
        <f aca="false">IF(AND($C39="Goal",AY$7&gt;=$F39,AY$7&lt;=$F39+$G39-1),2,IF(AND($C39="Milestone",AY$7&gt;=$F39,AY$7&lt;=$F39+$G39-1),1,""))</f>
        <v/>
      </c>
      <c r="AZ32" s="79" t="str">
        <f aca="false">IF(AND($C39="Goal",AZ$7&gt;=$F39,AZ$7&lt;=$F39+$G39-1),2,IF(AND($C39="Milestone",AZ$7&gt;=$F39,AZ$7&lt;=$F39+$G39-1),1,""))</f>
        <v/>
      </c>
      <c r="BA32" s="79" t="str">
        <f aca="false">IF(AND($C39="Goal",BA$7&gt;=$F39,BA$7&lt;=$F39+$G39-1),2,IF(AND($C39="Milestone",BA$7&gt;=$F39,BA$7&lt;=$F39+$G39-1),1,""))</f>
        <v/>
      </c>
      <c r="BB32" s="79" t="str">
        <f aca="false">IF(AND($C39="Goal",BB$7&gt;=$F39,BB$7&lt;=$F39+$G39-1),2,IF(AND($C39="Milestone",BB$7&gt;=$F39,BB$7&lt;=$F39+$G39-1),1,""))</f>
        <v/>
      </c>
      <c r="BC32" s="79" t="str">
        <f aca="false">IF(AND($C39="Goal",BC$7&gt;=$F39,BC$7&lt;=$F39+$G39-1),2,IF(AND($C39="Milestone",BC$7&gt;=$F39,BC$7&lt;=$F39+$G39-1),1,""))</f>
        <v/>
      </c>
      <c r="BD32" s="79" t="str">
        <f aca="false">IF(AND($C39="Goal",BD$7&gt;=$F39,BD$7&lt;=$F39+$G39-1),2,IF(AND($C39="Milestone",BD$7&gt;=$F39,BD$7&lt;=$F39+$G39-1),1,""))</f>
        <v/>
      </c>
      <c r="BE32" s="79" t="str">
        <f aca="false">IF(AND($C39="Goal",BE$7&gt;=$F39,BE$7&lt;=$F39+$G39-1),2,IF(AND($C39="Milestone",BE$7&gt;=$F39,BE$7&lt;=$F39+$G39-1),1,""))</f>
        <v/>
      </c>
      <c r="BF32" s="79" t="str">
        <f aca="false">IF(AND($C39="Goal",BF$7&gt;=$F39,BF$7&lt;=$F39+$G39-1),2,IF(AND($C39="Milestone",BF$7&gt;=$F39,BF$7&lt;=$F39+$G39-1),1,""))</f>
        <v/>
      </c>
      <c r="BG32" s="79" t="str">
        <f aca="false">IF(AND($C39="Goal",BG$7&gt;=$F39,BG$7&lt;=$F39+$G39-1),2,IF(AND($C39="Milestone",BG$7&gt;=$F39,BG$7&lt;=$F39+$G39-1),1,""))</f>
        <v/>
      </c>
      <c r="BH32" s="79" t="str">
        <f aca="false">IF(AND($C39="Goal",BH$7&gt;=$F39,BH$7&lt;=$F39+$G39-1),2,IF(AND($C39="Milestone",BH$7&gt;=$F39,BH$7&lt;=$F39+$G39-1),1,""))</f>
        <v/>
      </c>
      <c r="BI32" s="79" t="str">
        <f aca="false">IF(AND($C39="Goal",BI$7&gt;=$F39,BI$7&lt;=$F39+$G39-1),2,IF(AND($C39="Milestone",BI$7&gt;=$F39,BI$7&lt;=$F39+$G39-1),1,""))</f>
        <v/>
      </c>
      <c r="BJ32" s="79" t="str">
        <f aca="false">IF(AND($C39="Goal",BJ$7&gt;=$F39,BJ$7&lt;=$F39+$G39-1),2,IF(AND($C39="Milestone",BJ$7&gt;=$F39,BJ$7&lt;=$F39+$G39-1),1,""))</f>
        <v/>
      </c>
      <c r="BK32" s="79" t="str">
        <f aca="false">IF(AND($C39="Goal",BK$7&gt;=$F39,BK$7&lt;=$F39+$G39-1),2,IF(AND($C39="Milestone",BK$7&gt;=$F39,BK$7&lt;=$F39+$G39-1),1,""))</f>
        <v/>
      </c>
      <c r="BL32" s="79" t="str">
        <f aca="false">IF(AND($C39="Goal",BL$7&gt;=$F39,BL$7&lt;=$F39+$G39-1),2,IF(AND($C39="Milestone",BL$7&gt;=$F39,BL$7&lt;=$F39+$G39-1),1,""))</f>
        <v/>
      </c>
    </row>
    <row r="33" s="25" customFormat="true" ht="39.75" hidden="false" customHeight="true" outlineLevel="0" collapsed="false">
      <c r="A33" s="13"/>
      <c r="B33" s="82"/>
      <c r="C33" s="67"/>
      <c r="D33" s="67"/>
      <c r="E33" s="68"/>
      <c r="F33" s="69"/>
      <c r="G33" s="70"/>
      <c r="H33" s="67"/>
      <c r="I33" s="79" t="str">
        <f aca="false">IF(AND($C40="Goal",I$7&gt;=$F40,I$7&lt;=$F40+$G40-1),2,IF(AND($C40="Milestone",I$7&gt;=$F40,I$7&lt;=$F40+$G40-1),1,""))</f>
        <v/>
      </c>
      <c r="J33" s="79" t="str">
        <f aca="false">IF(AND($C40="Goal",J$7&gt;=$F40,J$7&lt;=$F40+$G40-1),2,IF(AND($C40="Milestone",J$7&gt;=$F40,J$7&lt;=$F40+$G40-1),1,""))</f>
        <v/>
      </c>
      <c r="K33" s="79" t="str">
        <f aca="false">IF(AND($C40="Goal",K$7&gt;=$F40,K$7&lt;=$F40+$G40-1),2,IF(AND($C40="Milestone",K$7&gt;=$F40,K$7&lt;=$F40+$G40-1),1,""))</f>
        <v/>
      </c>
      <c r="L33" s="79" t="str">
        <f aca="false">IF(AND($C40="Goal",L$7&gt;=$F40,L$7&lt;=$F40+$G40-1),2,IF(AND($C40="Milestone",L$7&gt;=$F40,L$7&lt;=$F40+$G40-1),1,""))</f>
        <v/>
      </c>
      <c r="M33" s="79" t="str">
        <f aca="false">IF(AND($C40="Goal",M$7&gt;=$F40,M$7&lt;=$F40+$G40-1),2,IF(AND($C40="Milestone",M$7&gt;=$F40,M$7&lt;=$F40+$G40-1),1,""))</f>
        <v/>
      </c>
      <c r="N33" s="79" t="str">
        <f aca="false">IF(AND($C40="Goal",N$7&gt;=$F40,N$7&lt;=$F40+$G40-1),2,IF(AND($C40="Milestone",N$7&gt;=$F40,N$7&lt;=$F40+$G40-1),1,""))</f>
        <v/>
      </c>
      <c r="O33" s="79" t="str">
        <f aca="false">IF(AND($C40="Goal",O$7&gt;=$F40,O$7&lt;=$F40+$G40-1),2,IF(AND($C40="Milestone",O$7&gt;=$F40,O$7&lt;=$F40+$G40-1),1,""))</f>
        <v/>
      </c>
      <c r="P33" s="79" t="str">
        <f aca="false">IF(AND($C40="Goal",P$7&gt;=$F40,P$7&lt;=$F40+$G40-1),2,IF(AND($C40="Milestone",P$7&gt;=$F40,P$7&lt;=$F40+$G40-1),1,""))</f>
        <v/>
      </c>
      <c r="Q33" s="79" t="str">
        <f aca="false">IF(AND($C40="Goal",Q$7&gt;=$F40,Q$7&lt;=$F40+$G40-1),2,IF(AND($C40="Milestone",Q$7&gt;=$F40,Q$7&lt;=$F40+$G40-1),1,""))</f>
        <v/>
      </c>
      <c r="R33" s="79" t="str">
        <f aca="false">IF(AND($C40="Goal",R$7&gt;=$F40,R$7&lt;=$F40+$G40-1),2,IF(AND($C40="Milestone",R$7&gt;=$F40,R$7&lt;=$F40+$G40-1),1,""))</f>
        <v/>
      </c>
      <c r="S33" s="79" t="str">
        <f aca="false">IF(AND($C40="Goal",S$7&gt;=$F40,S$7&lt;=$F40+$G40-1),2,IF(AND($C40="Milestone",S$7&gt;=$F40,S$7&lt;=$F40+$G40-1),1,""))</f>
        <v/>
      </c>
      <c r="T33" s="79" t="str">
        <f aca="false">IF(AND($C40="Goal",T$7&gt;=$F40,T$7&lt;=$F40+$G40-1),2,IF(AND($C40="Milestone",T$7&gt;=$F40,T$7&lt;=$F40+$G40-1),1,""))</f>
        <v/>
      </c>
      <c r="U33" s="79" t="str">
        <f aca="false">IF(AND($C40="Goal",U$7&gt;=$F40,U$7&lt;=$F40+$G40-1),2,IF(AND($C40="Milestone",U$7&gt;=$F40,U$7&lt;=$F40+$G40-1),1,""))</f>
        <v/>
      </c>
      <c r="V33" s="79" t="str">
        <f aca="false">IF(AND($C40="Goal",V$7&gt;=$F40,V$7&lt;=$F40+$G40-1),2,IF(AND($C40="Milestone",V$7&gt;=$F40,V$7&lt;=$F40+$G40-1),1,""))</f>
        <v/>
      </c>
      <c r="W33" s="79" t="str">
        <f aca="false">IF(AND($C40="Goal",W$7&gt;=$F40,W$7&lt;=$F40+$G40-1),2,IF(AND($C40="Milestone",W$7&gt;=$F40,W$7&lt;=$F40+$G40-1),1,""))</f>
        <v/>
      </c>
      <c r="X33" s="79" t="str">
        <f aca="false">IF(AND($C40="Goal",X$7&gt;=$F40,X$7&lt;=$F40+$G40-1),2,IF(AND($C40="Milestone",X$7&gt;=$F40,X$7&lt;=$F40+$G40-1),1,""))</f>
        <v/>
      </c>
      <c r="Y33" s="79" t="str">
        <f aca="false">IF(AND($C40="Goal",Y$7&gt;=$F40,Y$7&lt;=$F40+$G40-1),2,IF(AND($C40="Milestone",Y$7&gt;=$F40,Y$7&lt;=$F40+$G40-1),1,""))</f>
        <v/>
      </c>
      <c r="Z33" s="79" t="str">
        <f aca="false">IF(AND($C40="Goal",Z$7&gt;=$F40,Z$7&lt;=$F40+$G40-1),2,IF(AND($C40="Milestone",Z$7&gt;=$F40,Z$7&lt;=$F40+$G40-1),1,""))</f>
        <v/>
      </c>
      <c r="AA33" s="79" t="str">
        <f aca="false">IF(AND($C40="Goal",AA$7&gt;=$F40,AA$7&lt;=$F40+$G40-1),2,IF(AND($C40="Milestone",AA$7&gt;=$F40,AA$7&lt;=$F40+$G40-1),1,""))</f>
        <v/>
      </c>
      <c r="AB33" s="79" t="str">
        <f aca="false">IF(AND($C40="Goal",AB$7&gt;=$F40,AB$7&lt;=$F40+$G40-1),2,IF(AND($C40="Milestone",AB$7&gt;=$F40,AB$7&lt;=$F40+$G40-1),1,""))</f>
        <v/>
      </c>
      <c r="AC33" s="79" t="str">
        <f aca="false">IF(AND($C40="Goal",AC$7&gt;=$F40,AC$7&lt;=$F40+$G40-1),2,IF(AND($C40="Milestone",AC$7&gt;=$F40,AC$7&lt;=$F40+$G40-1),1,""))</f>
        <v/>
      </c>
      <c r="AD33" s="79" t="str">
        <f aca="false">IF(AND($C40="Goal",AD$7&gt;=$F40,AD$7&lt;=$F40+$G40-1),2,IF(AND($C40="Milestone",AD$7&gt;=$F40,AD$7&lt;=$F40+$G40-1),1,""))</f>
        <v/>
      </c>
      <c r="AE33" s="79" t="str">
        <f aca="false">IF(AND($C40="Goal",AE$7&gt;=$F40,AE$7&lt;=$F40+$G40-1),2,IF(AND($C40="Milestone",AE$7&gt;=$F40,AE$7&lt;=$F40+$G40-1),1,""))</f>
        <v/>
      </c>
      <c r="AF33" s="79" t="str">
        <f aca="false">IF(AND($C40="Goal",AF$7&gt;=$F40,AF$7&lt;=$F40+$G40-1),2,IF(AND($C40="Milestone",AF$7&gt;=$F40,AF$7&lt;=$F40+$G40-1),1,""))</f>
        <v/>
      </c>
      <c r="AG33" s="79" t="str">
        <f aca="false">IF(AND($C40="Goal",AG$7&gt;=$F40,AG$7&lt;=$F40+$G40-1),2,IF(AND($C40="Milestone",AG$7&gt;=$F40,AG$7&lt;=$F40+$G40-1),1,""))</f>
        <v/>
      </c>
      <c r="AH33" s="79" t="str">
        <f aca="false">IF(AND($C40="Goal",AH$7&gt;=$F40,AH$7&lt;=$F40+$G40-1),2,IF(AND($C40="Milestone",AH$7&gt;=$F40,AH$7&lt;=$F40+$G40-1),1,""))</f>
        <v/>
      </c>
      <c r="AI33" s="79" t="str">
        <f aca="false">IF(AND($C40="Goal",AI$7&gt;=$F40,AI$7&lt;=$F40+$G40-1),2,IF(AND($C40="Milestone",AI$7&gt;=$F40,AI$7&lt;=$F40+$G40-1),1,""))</f>
        <v/>
      </c>
      <c r="AJ33" s="79" t="str">
        <f aca="false">IF(AND($C40="Goal",AJ$7&gt;=$F40,AJ$7&lt;=$F40+$G40-1),2,IF(AND($C40="Milestone",AJ$7&gt;=$F40,AJ$7&lt;=$F40+$G40-1),1,""))</f>
        <v/>
      </c>
      <c r="AK33" s="79" t="str">
        <f aca="false">IF(AND($C40="Goal",AK$7&gt;=$F40,AK$7&lt;=$F40+$G40-1),2,IF(AND($C40="Milestone",AK$7&gt;=$F40,AK$7&lt;=$F40+$G40-1),1,""))</f>
        <v/>
      </c>
      <c r="AL33" s="79" t="str">
        <f aca="false">IF(AND($C40="Goal",AL$7&gt;=$F40,AL$7&lt;=$F40+$G40-1),2,IF(AND($C40="Milestone",AL$7&gt;=$F40,AL$7&lt;=$F40+$G40-1),1,""))</f>
        <v/>
      </c>
      <c r="AM33" s="79" t="str">
        <f aca="false">IF(AND($C40="Goal",AM$7&gt;=$F40,AM$7&lt;=$F40+$G40-1),2,IF(AND($C40="Milestone",AM$7&gt;=$F40,AM$7&lt;=$F40+$G40-1),1,""))</f>
        <v/>
      </c>
      <c r="AN33" s="79" t="str">
        <f aca="false">IF(AND($C40="Goal",AN$7&gt;=$F40,AN$7&lt;=$F40+$G40-1),2,IF(AND($C40="Milestone",AN$7&gt;=$F40,AN$7&lt;=$F40+$G40-1),1,""))</f>
        <v/>
      </c>
      <c r="AO33" s="79" t="str">
        <f aca="false">IF(AND($C40="Goal",AO$7&gt;=$F40,AO$7&lt;=$F40+$G40-1),2,IF(AND($C40="Milestone",AO$7&gt;=$F40,AO$7&lt;=$F40+$G40-1),1,""))</f>
        <v/>
      </c>
      <c r="AP33" s="79" t="str">
        <f aca="false">IF(AND($C40="Goal",AP$7&gt;=$F40,AP$7&lt;=$F40+$G40-1),2,IF(AND($C40="Milestone",AP$7&gt;=$F40,AP$7&lt;=$F40+$G40-1),1,""))</f>
        <v/>
      </c>
      <c r="AQ33" s="79" t="str">
        <f aca="false">IF(AND($C40="Goal",AQ$7&gt;=$F40,AQ$7&lt;=$F40+$G40-1),2,IF(AND($C40="Milestone",AQ$7&gt;=$F40,AQ$7&lt;=$F40+$G40-1),1,""))</f>
        <v/>
      </c>
      <c r="AR33" s="79" t="str">
        <f aca="false">IF(AND($C40="Goal",AR$7&gt;=$F40,AR$7&lt;=$F40+$G40-1),2,IF(AND($C40="Milestone",AR$7&gt;=$F40,AR$7&lt;=$F40+$G40-1),1,""))</f>
        <v/>
      </c>
      <c r="AS33" s="79" t="str">
        <f aca="false">IF(AND($C40="Goal",AS$7&gt;=$F40,AS$7&lt;=$F40+$G40-1),2,IF(AND($C40="Milestone",AS$7&gt;=$F40,AS$7&lt;=$F40+$G40-1),1,""))</f>
        <v/>
      </c>
      <c r="AT33" s="79" t="str">
        <f aca="false">IF(AND($C40="Goal",AT$7&gt;=$F40,AT$7&lt;=$F40+$G40-1),2,IF(AND($C40="Milestone",AT$7&gt;=$F40,AT$7&lt;=$F40+$G40-1),1,""))</f>
        <v/>
      </c>
      <c r="AU33" s="79" t="str">
        <f aca="false">IF(AND($C40="Goal",AU$7&gt;=$F40,AU$7&lt;=$F40+$G40-1),2,IF(AND($C40="Milestone",AU$7&gt;=$F40,AU$7&lt;=$F40+$G40-1),1,""))</f>
        <v/>
      </c>
      <c r="AV33" s="79" t="str">
        <f aca="false">IF(AND($C40="Goal",AV$7&gt;=$F40,AV$7&lt;=$F40+$G40-1),2,IF(AND($C40="Milestone",AV$7&gt;=$F40,AV$7&lt;=$F40+$G40-1),1,""))</f>
        <v/>
      </c>
      <c r="AW33" s="79" t="str">
        <f aca="false">IF(AND($C40="Goal",AW$7&gt;=$F40,AW$7&lt;=$F40+$G40-1),2,IF(AND($C40="Milestone",AW$7&gt;=$F40,AW$7&lt;=$F40+$G40-1),1,""))</f>
        <v/>
      </c>
      <c r="AX33" s="79" t="str">
        <f aca="false">IF(AND($C40="Goal",AX$7&gt;=$F40,AX$7&lt;=$F40+$G40-1),2,IF(AND($C40="Milestone",AX$7&gt;=$F40,AX$7&lt;=$F40+$G40-1),1,""))</f>
        <v/>
      </c>
      <c r="AY33" s="79" t="str">
        <f aca="false">IF(AND($C40="Goal",AY$7&gt;=$F40,AY$7&lt;=$F40+$G40-1),2,IF(AND($C40="Milestone",AY$7&gt;=$F40,AY$7&lt;=$F40+$G40-1),1,""))</f>
        <v/>
      </c>
      <c r="AZ33" s="79" t="str">
        <f aca="false">IF(AND($C40="Goal",AZ$7&gt;=$F40,AZ$7&lt;=$F40+$G40-1),2,IF(AND($C40="Milestone",AZ$7&gt;=$F40,AZ$7&lt;=$F40+$G40-1),1,""))</f>
        <v/>
      </c>
      <c r="BA33" s="79" t="str">
        <f aca="false">IF(AND($C40="Goal",BA$7&gt;=$F40,BA$7&lt;=$F40+$G40-1),2,IF(AND($C40="Milestone",BA$7&gt;=$F40,BA$7&lt;=$F40+$G40-1),1,""))</f>
        <v/>
      </c>
      <c r="BB33" s="79" t="str">
        <f aca="false">IF(AND($C40="Goal",BB$7&gt;=$F40,BB$7&lt;=$F40+$G40-1),2,IF(AND($C40="Milestone",BB$7&gt;=$F40,BB$7&lt;=$F40+$G40-1),1,""))</f>
        <v/>
      </c>
      <c r="BC33" s="79" t="str">
        <f aca="false">IF(AND($C40="Goal",BC$7&gt;=$F40,BC$7&lt;=$F40+$G40-1),2,IF(AND($C40="Milestone",BC$7&gt;=$F40,BC$7&lt;=$F40+$G40-1),1,""))</f>
        <v/>
      </c>
      <c r="BD33" s="79" t="str">
        <f aca="false">IF(AND($C40="Goal",BD$7&gt;=$F40,BD$7&lt;=$F40+$G40-1),2,IF(AND($C40="Milestone",BD$7&gt;=$F40,BD$7&lt;=$F40+$G40-1),1,""))</f>
        <v/>
      </c>
      <c r="BE33" s="79" t="str">
        <f aca="false">IF(AND($C40="Goal",BE$7&gt;=$F40,BE$7&lt;=$F40+$G40-1),2,IF(AND($C40="Milestone",BE$7&gt;=$F40,BE$7&lt;=$F40+$G40-1),1,""))</f>
        <v/>
      </c>
      <c r="BF33" s="79" t="str">
        <f aca="false">IF(AND($C40="Goal",BF$7&gt;=$F40,BF$7&lt;=$F40+$G40-1),2,IF(AND($C40="Milestone",BF$7&gt;=$F40,BF$7&lt;=$F40+$G40-1),1,""))</f>
        <v/>
      </c>
      <c r="BG33" s="79" t="str">
        <f aca="false">IF(AND($C40="Goal",BG$7&gt;=$F40,BG$7&lt;=$F40+$G40-1),2,IF(AND($C40="Milestone",BG$7&gt;=$F40,BG$7&lt;=$F40+$G40-1),1,""))</f>
        <v/>
      </c>
      <c r="BH33" s="79" t="str">
        <f aca="false">IF(AND($C40="Goal",BH$7&gt;=$F40,BH$7&lt;=$F40+$G40-1),2,IF(AND($C40="Milestone",BH$7&gt;=$F40,BH$7&lt;=$F40+$G40-1),1,""))</f>
        <v/>
      </c>
      <c r="BI33" s="79" t="str">
        <f aca="false">IF(AND($C40="Goal",BI$7&gt;=$F40,BI$7&lt;=$F40+$G40-1),2,IF(AND($C40="Milestone",BI$7&gt;=$F40,BI$7&lt;=$F40+$G40-1),1,""))</f>
        <v/>
      </c>
      <c r="BJ33" s="79" t="str">
        <f aca="false">IF(AND($C40="Goal",BJ$7&gt;=$F40,BJ$7&lt;=$F40+$G40-1),2,IF(AND($C40="Milestone",BJ$7&gt;=$F40,BJ$7&lt;=$F40+$G40-1),1,""))</f>
        <v/>
      </c>
      <c r="BK33" s="79" t="str">
        <f aca="false">IF(AND($C40="Goal",BK$7&gt;=$F40,BK$7&lt;=$F40+$G40-1),2,IF(AND($C40="Milestone",BK$7&gt;=$F40,BK$7&lt;=$F40+$G40-1),1,""))</f>
        <v/>
      </c>
      <c r="BL33" s="79" t="str">
        <f aca="false">IF(AND($C40="Goal",BL$7&gt;=$F40,BL$7&lt;=$F40+$G40-1),2,IF(AND($C40="Milestone",BL$7&gt;=$F40,BL$7&lt;=$F40+$G40-1),1,""))</f>
        <v/>
      </c>
    </row>
    <row r="34" s="25" customFormat="true" ht="39.75" hidden="false" customHeight="true" outlineLevel="0" collapsed="false">
      <c r="A34" s="13"/>
      <c r="B34" s="83" t="s">
        <v>47</v>
      </c>
      <c r="C34" s="67" t="s">
        <v>20</v>
      </c>
      <c r="D34" s="84" t="s">
        <v>24</v>
      </c>
      <c r="E34" s="68" t="n">
        <v>1</v>
      </c>
      <c r="F34" s="69" t="n">
        <v>45945</v>
      </c>
      <c r="G34" s="70" t="n">
        <v>7</v>
      </c>
      <c r="H34" s="67"/>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row>
    <row r="35" s="25" customFormat="true" ht="39.75" hidden="false" customHeight="true" outlineLevel="0" collapsed="false">
      <c r="A35" s="13"/>
      <c r="B35" s="73"/>
      <c r="C35" s="67"/>
      <c r="D35" s="84"/>
      <c r="E35" s="68"/>
      <c r="F35" s="69"/>
      <c r="G35" s="70"/>
      <c r="H35" s="67"/>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row>
    <row r="36" s="25" customFormat="true" ht="39.75" hidden="false" customHeight="true" outlineLevel="0" collapsed="false">
      <c r="A36" s="13"/>
      <c r="B36" s="85" t="s">
        <v>48</v>
      </c>
      <c r="C36" s="67" t="s">
        <v>35</v>
      </c>
      <c r="D36" s="67" t="s">
        <v>26</v>
      </c>
      <c r="E36" s="68" t="n">
        <v>1</v>
      </c>
      <c r="F36" s="69" t="n">
        <v>45935</v>
      </c>
      <c r="G36" s="70" t="n">
        <v>7</v>
      </c>
      <c r="H36" s="67"/>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row>
    <row r="37" s="25" customFormat="true" ht="39.75" hidden="false" customHeight="true" outlineLevel="0" collapsed="false">
      <c r="A37" s="13"/>
      <c r="B37" s="85" t="s">
        <v>49</v>
      </c>
      <c r="C37" s="67" t="s">
        <v>35</v>
      </c>
      <c r="D37" s="67" t="s">
        <v>24</v>
      </c>
      <c r="E37" s="68" t="n">
        <v>1</v>
      </c>
      <c r="F37" s="69" t="n">
        <v>45952</v>
      </c>
      <c r="G37" s="70" t="n">
        <v>7</v>
      </c>
      <c r="H37" s="67"/>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86"/>
      <c r="AX37" s="86"/>
      <c r="AY37" s="86"/>
      <c r="AZ37" s="86"/>
      <c r="BA37" s="86"/>
      <c r="BB37" s="86"/>
      <c r="BC37" s="86"/>
      <c r="BD37" s="79"/>
      <c r="BE37" s="79"/>
      <c r="BF37" s="79"/>
      <c r="BG37" s="79"/>
      <c r="BH37" s="79"/>
      <c r="BI37" s="79"/>
      <c r="BJ37" s="79"/>
      <c r="BK37" s="79"/>
      <c r="BL37" s="79"/>
    </row>
    <row r="38" s="25" customFormat="true" ht="39.75" hidden="false" customHeight="true" outlineLevel="0" collapsed="false">
      <c r="A38" s="13"/>
      <c r="B38" s="85" t="s">
        <v>50</v>
      </c>
      <c r="C38" s="67" t="s">
        <v>35</v>
      </c>
      <c r="D38" s="67" t="s">
        <v>24</v>
      </c>
      <c r="E38" s="68" t="n">
        <v>1</v>
      </c>
      <c r="F38" s="69" t="n">
        <v>45952</v>
      </c>
      <c r="G38" s="70" t="n">
        <v>7</v>
      </c>
      <c r="H38" s="67"/>
      <c r="I38" s="79" t="str">
        <f aca="false">IF(AND($C48="Goal",I$7&gt;=$F48,I$7&lt;=$F48+$G48-1),2,IF(AND($C48="Milestone",I$7&gt;=$F48,I$7&lt;=$F48+$G48-1),1,""))</f>
        <v/>
      </c>
      <c r="J38" s="79" t="str">
        <f aca="false">IF(AND($C48="Goal",J$7&gt;=$F48,J$7&lt;=$F48+$G48-1),2,IF(AND($C48="Milestone",J$7&gt;=$F48,J$7&lt;=$F48+$G48-1),1,""))</f>
        <v/>
      </c>
      <c r="K38" s="79" t="str">
        <f aca="false">IF(AND($C48="Goal",K$7&gt;=$F48,K$7&lt;=$F48+$G48-1),2,IF(AND($C48="Milestone",K$7&gt;=$F48,K$7&lt;=$F48+$G48-1),1,""))</f>
        <v/>
      </c>
      <c r="L38" s="79" t="str">
        <f aca="false">IF(AND($C48="Goal",L$7&gt;=$F48,L$7&lt;=$F48+$G48-1),2,IF(AND($C48="Milestone",L$7&gt;=$F48,L$7&lt;=$F48+$G48-1),1,""))</f>
        <v/>
      </c>
      <c r="M38" s="79" t="str">
        <f aca="false">IF(AND($C48="Goal",M$7&gt;=$F48,M$7&lt;=$F48+$G48-1),2,IF(AND($C48="Milestone",M$7&gt;=$F48,M$7&lt;=$F48+$G48-1),1,""))</f>
        <v/>
      </c>
      <c r="N38" s="79" t="str">
        <f aca="false">IF(AND($C48="Goal",N$7&gt;=$F48,N$7&lt;=$F48+$G48-1),2,IF(AND($C48="Milestone",N$7&gt;=$F48,N$7&lt;=$F48+$G48-1),1,""))</f>
        <v/>
      </c>
      <c r="O38" s="79" t="str">
        <f aca="false">IF(AND($C48="Goal",O$7&gt;=$F48,O$7&lt;=$F48+$G48-1),2,IF(AND($C48="Milestone",O$7&gt;=$F48,O$7&lt;=$F48+$G48-1),1,""))</f>
        <v/>
      </c>
      <c r="P38" s="79" t="str">
        <f aca="false">IF(AND($C48="Goal",P$7&gt;=$F48,P$7&lt;=$F48+$G48-1),2,IF(AND($C48="Milestone",P$7&gt;=$F48,P$7&lt;=$F48+$G48-1),1,""))</f>
        <v/>
      </c>
      <c r="Q38" s="79" t="str">
        <f aca="false">IF(AND($C48="Goal",Q$7&gt;=$F48,Q$7&lt;=$F48+$G48-1),2,IF(AND($C48="Milestone",Q$7&gt;=$F48,Q$7&lt;=$F48+$G48-1),1,""))</f>
        <v/>
      </c>
      <c r="R38" s="79" t="str">
        <f aca="false">IF(AND($C48="Goal",R$7&gt;=$F48,R$7&lt;=$F48+$G48-1),2,IF(AND($C48="Milestone",R$7&gt;=$F48,R$7&lt;=$F48+$G48-1),1,""))</f>
        <v/>
      </c>
      <c r="S38" s="79" t="str">
        <f aca="false">IF(AND($C48="Goal",S$7&gt;=$F48,S$7&lt;=$F48+$G48-1),2,IF(AND($C48="Milestone",S$7&gt;=$F48,S$7&lt;=$F48+$G48-1),1,""))</f>
        <v/>
      </c>
      <c r="T38" s="79" t="str">
        <f aca="false">IF(AND($C48="Goal",T$7&gt;=$F48,T$7&lt;=$F48+$G48-1),2,IF(AND($C48="Milestone",T$7&gt;=$F48,T$7&lt;=$F48+$G48-1),1,""))</f>
        <v/>
      </c>
      <c r="U38" s="79" t="str">
        <f aca="false">IF(AND($C48="Goal",U$7&gt;=$F48,U$7&lt;=$F48+$G48-1),2,IF(AND($C48="Milestone",U$7&gt;=$F48,U$7&lt;=$F48+$G48-1),1,""))</f>
        <v/>
      </c>
      <c r="V38" s="79" t="str">
        <f aca="false">IF(AND($C48="Goal",V$7&gt;=$F48,V$7&lt;=$F48+$G48-1),2,IF(AND($C48="Milestone",V$7&gt;=$F48,V$7&lt;=$F48+$G48-1),1,""))</f>
        <v/>
      </c>
      <c r="W38" s="79" t="str">
        <f aca="false">IF(AND($C48="Goal",W$7&gt;=$F48,W$7&lt;=$F48+$G48-1),2,IF(AND($C48="Milestone",W$7&gt;=$F48,W$7&lt;=$F48+$G48-1),1,""))</f>
        <v/>
      </c>
      <c r="X38" s="79" t="str">
        <f aca="false">IF(AND($C48="Goal",X$7&gt;=$F48,X$7&lt;=$F48+$G48-1),2,IF(AND($C48="Milestone",X$7&gt;=$F48,X$7&lt;=$F48+$G48-1),1,""))</f>
        <v/>
      </c>
      <c r="Y38" s="79" t="str">
        <f aca="false">IF(AND($C48="Goal",Y$7&gt;=$F48,Y$7&lt;=$F48+$G48-1),2,IF(AND($C48="Milestone",Y$7&gt;=$F48,Y$7&lt;=$F48+$G48-1),1,""))</f>
        <v/>
      </c>
      <c r="Z38" s="79" t="str">
        <f aca="false">IF(AND($C48="Goal",Z$7&gt;=$F48,Z$7&lt;=$F48+$G48-1),2,IF(AND($C48="Milestone",Z$7&gt;=$F48,Z$7&lt;=$F48+$G48-1),1,""))</f>
        <v/>
      </c>
      <c r="AA38" s="79" t="str">
        <f aca="false">IF(AND($C48="Goal",AA$7&gt;=$F48,AA$7&lt;=$F48+$G48-1),2,IF(AND($C48="Milestone",AA$7&gt;=$F48,AA$7&lt;=$F48+$G48-1),1,""))</f>
        <v/>
      </c>
      <c r="AB38" s="79" t="str">
        <f aca="false">IF(AND($C48="Goal",AB$7&gt;=$F48,AB$7&lt;=$F48+$G48-1),2,IF(AND($C48="Milestone",AB$7&gt;=$F48,AB$7&lt;=$F48+$G48-1),1,""))</f>
        <v/>
      </c>
      <c r="AC38" s="79" t="str">
        <f aca="false">IF(AND($C48="Goal",AC$7&gt;=$F48,AC$7&lt;=$F48+$G48-1),2,IF(AND($C48="Milestone",AC$7&gt;=$F48,AC$7&lt;=$F48+$G48-1),1,""))</f>
        <v/>
      </c>
      <c r="AD38" s="79" t="str">
        <f aca="false">IF(AND($C48="Goal",AD$7&gt;=$F48,AD$7&lt;=$F48+$G48-1),2,IF(AND($C48="Milestone",AD$7&gt;=$F48,AD$7&lt;=$F48+$G48-1),1,""))</f>
        <v/>
      </c>
      <c r="AE38" s="79" t="str">
        <f aca="false">IF(AND($C48="Goal",AE$7&gt;=$F48,AE$7&lt;=$F48+$G48-1),2,IF(AND($C48="Milestone",AE$7&gt;=$F48,AE$7&lt;=$F48+$G48-1),1,""))</f>
        <v/>
      </c>
      <c r="AF38" s="79" t="str">
        <f aca="false">IF(AND($C48="Goal",AF$7&gt;=$F48,AF$7&lt;=$F48+$G48-1),2,IF(AND($C48="Milestone",AF$7&gt;=$F48,AF$7&lt;=$F48+$G48-1),1,""))</f>
        <v/>
      </c>
      <c r="AG38" s="79" t="str">
        <f aca="false">IF(AND($C48="Goal",AG$7&gt;=$F48,AG$7&lt;=$F48+$G48-1),2,IF(AND($C48="Milestone",AG$7&gt;=$F48,AG$7&lt;=$F48+$G48-1),1,""))</f>
        <v/>
      </c>
      <c r="AH38" s="79" t="str">
        <f aca="false">IF(AND($C48="Goal",AH$7&gt;=$F48,AH$7&lt;=$F48+$G48-1),2,IF(AND($C48="Milestone",AH$7&gt;=$F48,AH$7&lt;=$F48+$G48-1),1,""))</f>
        <v/>
      </c>
      <c r="AI38" s="79" t="str">
        <f aca="false">IF(AND($C48="Goal",AI$7&gt;=$F48,AI$7&lt;=$F48+$G48-1),2,IF(AND($C48="Milestone",AI$7&gt;=$F48,AI$7&lt;=$F48+$G48-1),1,""))</f>
        <v/>
      </c>
      <c r="AJ38" s="79" t="str">
        <f aca="false">IF(AND($C48="Goal",AJ$7&gt;=$F48,AJ$7&lt;=$F48+$G48-1),2,IF(AND($C48="Milestone",AJ$7&gt;=$F48,AJ$7&lt;=$F48+$G48-1),1,""))</f>
        <v/>
      </c>
      <c r="AK38" s="79" t="str">
        <f aca="false">IF(AND($C48="Goal",AK$7&gt;=$F48,AK$7&lt;=$F48+$G48-1),2,IF(AND($C48="Milestone",AK$7&gt;=$F48,AK$7&lt;=$F48+$G48-1),1,""))</f>
        <v/>
      </c>
      <c r="AL38" s="79" t="str">
        <f aca="false">IF(AND($C48="Goal",AL$7&gt;=$F48,AL$7&lt;=$F48+$G48-1),2,IF(AND($C48="Milestone",AL$7&gt;=$F48,AL$7&lt;=$F48+$G48-1),1,""))</f>
        <v/>
      </c>
      <c r="AM38" s="79" t="str">
        <f aca="false">IF(AND($C48="Goal",AM$7&gt;=$F48,AM$7&lt;=$F48+$G48-1),2,IF(AND($C48="Milestone",AM$7&gt;=$F48,AM$7&lt;=$F48+$G48-1),1,""))</f>
        <v/>
      </c>
      <c r="AN38" s="79" t="str">
        <f aca="false">IF(AND($C48="Goal",AN$7&gt;=$F48,AN$7&lt;=$F48+$G48-1),2,IF(AND($C48="Milestone",AN$7&gt;=$F48,AN$7&lt;=$F48+$G48-1),1,""))</f>
        <v/>
      </c>
      <c r="AO38" s="79" t="str">
        <f aca="false">IF(AND($C48="Goal",AO$7&gt;=$F48,AO$7&lt;=$F48+$G48-1),2,IF(AND($C48="Milestone",AO$7&gt;=$F48,AO$7&lt;=$F48+$G48-1),1,""))</f>
        <v/>
      </c>
      <c r="AP38" s="79" t="str">
        <f aca="false">IF(AND($C48="Goal",AP$7&gt;=$F48,AP$7&lt;=$F48+$G48-1),2,IF(AND($C48="Milestone",AP$7&gt;=$F48,AP$7&lt;=$F48+$G48-1),1,""))</f>
        <v/>
      </c>
      <c r="AQ38" s="79" t="str">
        <f aca="false">IF(AND($C48="Goal",AQ$7&gt;=$F48,AQ$7&lt;=$F48+$G48-1),2,IF(AND($C48="Milestone",AQ$7&gt;=$F48,AQ$7&lt;=$F48+$G48-1),1,""))</f>
        <v/>
      </c>
      <c r="AR38" s="79" t="str">
        <f aca="false">IF(AND($C48="Goal",AR$7&gt;=$F48,AR$7&lt;=$F48+$G48-1),2,IF(AND($C48="Milestone",AR$7&gt;=$F48,AR$7&lt;=$F48+$G48-1),1,""))</f>
        <v/>
      </c>
      <c r="AS38" s="79" t="str">
        <f aca="false">IF(AND($C48="Goal",AS$7&gt;=$F48,AS$7&lt;=$F48+$G48-1),2,IF(AND($C48="Milestone",AS$7&gt;=$F48,AS$7&lt;=$F48+$G48-1),1,""))</f>
        <v/>
      </c>
      <c r="AT38" s="79" t="str">
        <f aca="false">IF(AND($C48="Goal",AT$7&gt;=$F48,AT$7&lt;=$F48+$G48-1),2,IF(AND($C48="Milestone",AT$7&gt;=$F48,AT$7&lt;=$F48+$G48-1),1,""))</f>
        <v/>
      </c>
      <c r="AU38" s="79" t="str">
        <f aca="false">IF(AND($C48="Goal",AU$7&gt;=$F48,AU$7&lt;=$F48+$G48-1),2,IF(AND($C48="Milestone",AU$7&gt;=$F48,AU$7&lt;=$F48+$G48-1),1,""))</f>
        <v/>
      </c>
      <c r="AV38" s="79" t="str">
        <f aca="false">IF(AND($C48="Goal",AV$7&gt;=$F48,AV$7&lt;=$F48+$G48-1),2,IF(AND($C48="Milestone",AV$7&gt;=$F48,AV$7&lt;=$F48+$G48-1),1,""))</f>
        <v/>
      </c>
      <c r="AW38" s="79" t="str">
        <f aca="false">IF(AND($C48="Goal",AW$7&gt;=$F48,AW$7&lt;=$F48+$G48-1),2,IF(AND($C48="Milestone",AW$7&gt;=$F48,AW$7&lt;=$F48+$G48-1),1,""))</f>
        <v/>
      </c>
      <c r="AX38" s="79" t="str">
        <f aca="false">IF(AND($C48="Goal",AX$7&gt;=$F48,AX$7&lt;=$F48+$G48-1),2,IF(AND($C48="Milestone",AX$7&gt;=$F48,AX$7&lt;=$F48+$G48-1),1,""))</f>
        <v/>
      </c>
      <c r="AY38" s="79" t="str">
        <f aca="false">IF(AND($C48="Goal",AY$7&gt;=$F48,AY$7&lt;=$F48+$G48-1),2,IF(AND($C48="Milestone",AY$7&gt;=$F48,AY$7&lt;=$F48+$G48-1),1,""))</f>
        <v/>
      </c>
      <c r="AZ38" s="79" t="str">
        <f aca="false">IF(AND($C48="Goal",AZ$7&gt;=$F48,AZ$7&lt;=$F48+$G48-1),2,IF(AND($C48="Milestone",AZ$7&gt;=$F48,AZ$7&lt;=$F48+$G48-1),1,""))</f>
        <v/>
      </c>
      <c r="BA38" s="79" t="str">
        <f aca="false">IF(AND($C48="Goal",BA$7&gt;=$F48,BA$7&lt;=$F48+$G48-1),2,IF(AND($C48="Milestone",BA$7&gt;=$F48,BA$7&lt;=$F48+$G48-1),1,""))</f>
        <v/>
      </c>
      <c r="BB38" s="79" t="str">
        <f aca="false">IF(AND($C48="Goal",BB$7&gt;=$F48,BB$7&lt;=$F48+$G48-1),2,IF(AND($C48="Milestone",BB$7&gt;=$F48,BB$7&lt;=$F48+$G48-1),1,""))</f>
        <v/>
      </c>
      <c r="BC38" s="79" t="str">
        <f aca="false">IF(AND($C48="Goal",BC$7&gt;=$F48,BC$7&lt;=$F48+$G48-1),2,IF(AND($C48="Milestone",BC$7&gt;=$F48,BC$7&lt;=$F48+$G48-1),1,""))</f>
        <v/>
      </c>
      <c r="BD38" s="79" t="str">
        <f aca="false">IF(AND($C48="Goal",BD$7&gt;=$F48,BD$7&lt;=$F48+$G48-1),2,IF(AND($C48="Milestone",BD$7&gt;=$F48,BD$7&lt;=$F48+$G48-1),1,""))</f>
        <v/>
      </c>
      <c r="BE38" s="79" t="str">
        <f aca="false">IF(AND($C48="Goal",BE$7&gt;=$F48,BE$7&lt;=$F48+$G48-1),2,IF(AND($C48="Milestone",BE$7&gt;=$F48,BE$7&lt;=$F48+$G48-1),1,""))</f>
        <v/>
      </c>
      <c r="BF38" s="79" t="str">
        <f aca="false">IF(AND($C48="Goal",BF$7&gt;=$F48,BF$7&lt;=$F48+$G48-1),2,IF(AND($C48="Milestone",BF$7&gt;=$F48,BF$7&lt;=$F48+$G48-1),1,""))</f>
        <v/>
      </c>
      <c r="BG38" s="79" t="str">
        <f aca="false">IF(AND($C48="Goal",BG$7&gt;=$F48,BG$7&lt;=$F48+$G48-1),2,IF(AND($C48="Milestone",BG$7&gt;=$F48,BG$7&lt;=$F48+$G48-1),1,""))</f>
        <v/>
      </c>
      <c r="BH38" s="79" t="str">
        <f aca="false">IF(AND($C48="Goal",BH$7&gt;=$F48,BH$7&lt;=$F48+$G48-1),2,IF(AND($C48="Milestone",BH$7&gt;=$F48,BH$7&lt;=$F48+$G48-1),1,""))</f>
        <v/>
      </c>
      <c r="BI38" s="79" t="str">
        <f aca="false">IF(AND($C48="Goal",BI$7&gt;=$F48,BI$7&lt;=$F48+$G48-1),2,IF(AND($C48="Milestone",BI$7&gt;=$F48,BI$7&lt;=$F48+$G48-1),1,""))</f>
        <v/>
      </c>
      <c r="BJ38" s="79" t="str">
        <f aca="false">IF(AND($C48="Goal",BJ$7&gt;=$F48,BJ$7&lt;=$F48+$G48-1),2,IF(AND($C48="Milestone",BJ$7&gt;=$F48,BJ$7&lt;=$F48+$G48-1),1,""))</f>
        <v/>
      </c>
      <c r="BK38" s="79" t="str">
        <f aca="false">IF(AND($C48="Goal",BK$7&gt;=$F48,BK$7&lt;=$F48+$G48-1),2,IF(AND($C48="Milestone",BK$7&gt;=$F48,BK$7&lt;=$F48+$G48-1),1,""))</f>
        <v/>
      </c>
      <c r="BL38" s="79" t="str">
        <f aca="false">IF(AND($C48="Goal",BL$7&gt;=$F48,BL$7&lt;=$F48+$G48-1),2,IF(AND($C48="Milestone",BL$7&gt;=$F48,BL$7&lt;=$F48+$G48-1),1,""))</f>
        <v/>
      </c>
    </row>
    <row r="39" s="25" customFormat="true" ht="39.75" hidden="false" customHeight="true" outlineLevel="0" collapsed="false">
      <c r="A39" s="13"/>
      <c r="B39" s="85" t="s">
        <v>51</v>
      </c>
      <c r="C39" s="67" t="s">
        <v>35</v>
      </c>
      <c r="D39" s="67" t="s">
        <v>26</v>
      </c>
      <c r="E39" s="68" t="n">
        <v>1</v>
      </c>
      <c r="F39" s="69" t="n">
        <v>45959</v>
      </c>
      <c r="G39" s="70" t="n">
        <v>7</v>
      </c>
      <c r="H39" s="67"/>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row>
    <row r="40" s="25" customFormat="true" ht="39.75" hidden="false" customHeight="true" outlineLevel="0" collapsed="false">
      <c r="A40" s="13"/>
      <c r="B40" s="73" t="s">
        <v>52</v>
      </c>
      <c r="C40" s="67" t="s">
        <v>35</v>
      </c>
      <c r="D40" s="67" t="s">
        <v>24</v>
      </c>
      <c r="E40" s="68" t="n">
        <v>1</v>
      </c>
      <c r="F40" s="69" t="n">
        <v>45959</v>
      </c>
      <c r="G40" s="70" t="n">
        <v>7</v>
      </c>
      <c r="H40" s="67"/>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row>
    <row r="41" s="25" customFormat="true" ht="39.75" hidden="false" customHeight="true" outlineLevel="0" collapsed="false">
      <c r="A41" s="13"/>
      <c r="B41" s="60" t="s">
        <v>53</v>
      </c>
      <c r="C41" s="67" t="s">
        <v>35</v>
      </c>
      <c r="D41" s="67" t="s">
        <v>54</v>
      </c>
      <c r="E41" s="68" t="n">
        <v>1</v>
      </c>
      <c r="F41" s="69" t="n">
        <v>45951</v>
      </c>
      <c r="G41" s="70" t="n">
        <v>7</v>
      </c>
      <c r="H41" s="67"/>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row>
    <row r="42" s="25" customFormat="true" ht="39.75" hidden="false" customHeight="true" outlineLevel="0" collapsed="false">
      <c r="A42" s="13"/>
      <c r="B42" s="73" t="s">
        <v>55</v>
      </c>
      <c r="C42" s="67" t="s">
        <v>35</v>
      </c>
      <c r="D42" s="67" t="s">
        <v>54</v>
      </c>
      <c r="E42" s="68" t="n">
        <v>1</v>
      </c>
      <c r="F42" s="69" t="n">
        <v>45951</v>
      </c>
      <c r="G42" s="70" t="n">
        <v>5</v>
      </c>
      <c r="H42" s="67"/>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row>
    <row r="43" s="25" customFormat="true" ht="39.75" hidden="false" customHeight="true" outlineLevel="0" collapsed="false">
      <c r="A43" s="13"/>
      <c r="B43" s="73" t="s">
        <v>56</v>
      </c>
      <c r="C43" s="67" t="s">
        <v>35</v>
      </c>
      <c r="D43" s="67" t="s">
        <v>24</v>
      </c>
      <c r="E43" s="68" t="n">
        <v>1</v>
      </c>
      <c r="F43" s="69" t="n">
        <v>45951</v>
      </c>
      <c r="G43" s="70" t="n">
        <v>5</v>
      </c>
      <c r="H43" s="67"/>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row>
    <row r="44" s="25" customFormat="true" ht="39.75" hidden="false" customHeight="true" outlineLevel="0" collapsed="false">
      <c r="A44" s="13"/>
      <c r="B44" s="73" t="s">
        <v>57</v>
      </c>
      <c r="C44" s="67" t="s">
        <v>35</v>
      </c>
      <c r="D44" s="67" t="s">
        <v>26</v>
      </c>
      <c r="E44" s="68" t="n">
        <v>1</v>
      </c>
      <c r="F44" s="69" t="n">
        <v>45951</v>
      </c>
      <c r="G44" s="70" t="n">
        <v>5</v>
      </c>
      <c r="H44" s="67"/>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row>
    <row r="45" s="25" customFormat="true" ht="39.75" hidden="false" customHeight="true" outlineLevel="0" collapsed="false">
      <c r="A45" s="13"/>
      <c r="B45" s="60" t="s">
        <v>58</v>
      </c>
      <c r="C45" s="67" t="s">
        <v>35</v>
      </c>
      <c r="D45" s="67" t="s">
        <v>24</v>
      </c>
      <c r="E45" s="68" t="n">
        <v>1</v>
      </c>
      <c r="F45" s="69" t="n">
        <v>45935</v>
      </c>
      <c r="G45" s="70" t="n">
        <v>7</v>
      </c>
      <c r="H45" s="67"/>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row>
    <row r="46" s="25" customFormat="true" ht="39.75" hidden="false" customHeight="true" outlineLevel="0" collapsed="false">
      <c r="A46" s="13"/>
      <c r="B46" s="78" t="s">
        <v>59</v>
      </c>
      <c r="C46" s="67" t="s">
        <v>20</v>
      </c>
      <c r="D46" s="67" t="s">
        <v>24</v>
      </c>
      <c r="E46" s="68" t="n">
        <v>1</v>
      </c>
      <c r="F46" s="69" t="n">
        <v>45935</v>
      </c>
      <c r="G46" s="70" t="n">
        <v>5</v>
      </c>
      <c r="H46" s="67"/>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row>
    <row r="47" s="25" customFormat="true" ht="39.75" hidden="false" customHeight="true" outlineLevel="0" collapsed="false">
      <c r="A47" s="13"/>
      <c r="B47" s="78" t="s">
        <v>60</v>
      </c>
      <c r="C47" s="67" t="s">
        <v>23</v>
      </c>
      <c r="D47" s="67" t="s">
        <v>24</v>
      </c>
      <c r="E47" s="68" t="n">
        <v>1</v>
      </c>
      <c r="F47" s="69" t="n">
        <v>45940</v>
      </c>
      <c r="G47" s="70" t="n">
        <v>3</v>
      </c>
      <c r="H47" s="67"/>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row>
    <row r="48" s="25" customFormat="true" ht="39.75" hidden="false" customHeight="true" outlineLevel="0" collapsed="false">
      <c r="A48" s="13"/>
      <c r="B48" s="73" t="s">
        <v>61</v>
      </c>
      <c r="C48" s="67" t="s">
        <v>35</v>
      </c>
      <c r="D48" s="67" t="s">
        <v>24</v>
      </c>
      <c r="E48" s="68" t="n">
        <v>1</v>
      </c>
      <c r="F48" s="69" t="n">
        <v>45942</v>
      </c>
      <c r="G48" s="70" t="n">
        <v>5</v>
      </c>
      <c r="H48" s="67"/>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row>
    <row r="49" s="25" customFormat="true" ht="39.75" hidden="false" customHeight="true" outlineLevel="0" collapsed="false">
      <c r="A49" s="13"/>
      <c r="B49" s="60" t="s">
        <v>62</v>
      </c>
      <c r="C49" s="67" t="s">
        <v>23</v>
      </c>
      <c r="D49" s="67" t="s">
        <v>54</v>
      </c>
      <c r="E49" s="68" t="n">
        <v>1</v>
      </c>
      <c r="F49" s="69" t="n">
        <v>45945</v>
      </c>
      <c r="G49" s="70" t="n">
        <v>5</v>
      </c>
      <c r="H49" s="67"/>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row>
    <row r="50" s="25" customFormat="true" ht="39.75" hidden="false" customHeight="true" outlineLevel="0" collapsed="false">
      <c r="A50" s="13"/>
      <c r="B50" s="78" t="s">
        <v>63</v>
      </c>
      <c r="C50" s="67" t="s">
        <v>23</v>
      </c>
      <c r="D50" s="67" t="s">
        <v>54</v>
      </c>
      <c r="E50" s="68" t="n">
        <v>1</v>
      </c>
      <c r="F50" s="69" t="n">
        <v>45955</v>
      </c>
      <c r="G50" s="70" t="n">
        <v>5</v>
      </c>
      <c r="H50" s="67"/>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row>
    <row r="51" s="25" customFormat="true" ht="39.75" hidden="false" customHeight="true" outlineLevel="0" collapsed="false">
      <c r="A51" s="13"/>
      <c r="B51" s="81" t="s">
        <v>64</v>
      </c>
      <c r="C51" s="67" t="s">
        <v>23</v>
      </c>
      <c r="D51" s="67" t="s">
        <v>54</v>
      </c>
      <c r="E51" s="68" t="n">
        <v>1</v>
      </c>
      <c r="F51" s="69" t="n">
        <v>45952</v>
      </c>
      <c r="G51" s="70" t="n">
        <v>7</v>
      </c>
      <c r="H51" s="67"/>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row>
    <row r="52" s="25" customFormat="true" ht="39.75" hidden="false" customHeight="true" outlineLevel="0" collapsed="false">
      <c r="A52" s="13"/>
      <c r="B52" s="83" t="s">
        <v>65</v>
      </c>
      <c r="C52" s="67" t="s">
        <v>23</v>
      </c>
      <c r="D52" s="67" t="s">
        <v>54</v>
      </c>
      <c r="E52" s="68" t="n">
        <v>1</v>
      </c>
      <c r="F52" s="69" t="n">
        <v>45952</v>
      </c>
      <c r="G52" s="70" t="n">
        <v>7</v>
      </c>
      <c r="H52" s="67"/>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row>
    <row r="53" s="25" customFormat="true" ht="39.75" hidden="false" customHeight="true" outlineLevel="0" collapsed="false">
      <c r="A53" s="13"/>
      <c r="B53" s="87" t="s">
        <v>66</v>
      </c>
      <c r="C53" s="67" t="s">
        <v>35</v>
      </c>
      <c r="D53" s="67" t="s">
        <v>54</v>
      </c>
      <c r="E53" s="68" t="n">
        <v>1</v>
      </c>
      <c r="F53" s="69" t="n">
        <v>45952</v>
      </c>
      <c r="G53" s="70" t="n">
        <v>7</v>
      </c>
      <c r="H53" s="67"/>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row>
    <row r="54" s="25" customFormat="true" ht="39.75" hidden="false" customHeight="true" outlineLevel="0" collapsed="false">
      <c r="A54" s="13"/>
      <c r="B54" s="88" t="s">
        <v>67</v>
      </c>
      <c r="C54" s="67" t="s">
        <v>35</v>
      </c>
      <c r="D54" s="67" t="s">
        <v>54</v>
      </c>
      <c r="E54" s="68" t="n">
        <v>0.9</v>
      </c>
      <c r="F54" s="69" t="n">
        <v>45961</v>
      </c>
      <c r="G54" s="70" t="n">
        <v>7</v>
      </c>
      <c r="H54" s="67"/>
      <c r="I54" s="79" t="str">
        <f aca="false">IF(AND($C64="Goal",I$7&gt;=$F64,I$7&lt;=$F64+$G64-1),2,IF(AND($C64="Milestone",I$7&gt;=$F64,I$7&lt;=$F64+$G64-1),1,""))</f>
        <v/>
      </c>
      <c r="J54" s="79" t="str">
        <f aca="false">IF(AND($C64="Goal",J$7&gt;=$F64,J$7&lt;=$F64+$G64-1),2,IF(AND($C64="Milestone",J$7&gt;=$F64,J$7&lt;=$F64+$G64-1),1,""))</f>
        <v/>
      </c>
      <c r="K54" s="79" t="str">
        <f aca="false">IF(AND($C64="Goal",K$7&gt;=$F64,K$7&lt;=$F64+$G64-1),2,IF(AND($C64="Milestone",K$7&gt;=$F64,K$7&lt;=$F64+$G64-1),1,""))</f>
        <v/>
      </c>
      <c r="L54" s="79" t="str">
        <f aca="false">IF(AND($C64="Goal",L$7&gt;=$F64,L$7&lt;=$F64+$G64-1),2,IF(AND($C64="Milestone",L$7&gt;=$F64,L$7&lt;=$F64+$G64-1),1,""))</f>
        <v/>
      </c>
      <c r="M54" s="79" t="str">
        <f aca="false">IF(AND($C64="Goal",M$7&gt;=$F64,M$7&lt;=$F64+$G64-1),2,IF(AND($C64="Milestone",M$7&gt;=$F64,M$7&lt;=$F64+$G64-1),1,""))</f>
        <v/>
      </c>
      <c r="N54" s="79" t="str">
        <f aca="false">IF(AND($C64="Goal",N$7&gt;=$F64,N$7&lt;=$F64+$G64-1),2,IF(AND($C64="Milestone",N$7&gt;=$F64,N$7&lt;=$F64+$G64-1),1,""))</f>
        <v/>
      </c>
      <c r="O54" s="79" t="str">
        <f aca="false">IF(AND($C64="Goal",O$7&gt;=$F64,O$7&lt;=$F64+$G64-1),2,IF(AND($C64="Milestone",O$7&gt;=$F64,O$7&lt;=$F64+$G64-1),1,""))</f>
        <v/>
      </c>
      <c r="P54" s="79" t="str">
        <f aca="false">IF(AND($C64="Goal",P$7&gt;=$F64,P$7&lt;=$F64+$G64-1),2,IF(AND($C64="Milestone",P$7&gt;=$F64,P$7&lt;=$F64+$G64-1),1,""))</f>
        <v/>
      </c>
      <c r="Q54" s="79" t="str">
        <f aca="false">IF(AND($C64="Goal",Q$7&gt;=$F64,Q$7&lt;=$F64+$G64-1),2,IF(AND($C64="Milestone",Q$7&gt;=$F64,Q$7&lt;=$F64+$G64-1),1,""))</f>
        <v/>
      </c>
      <c r="R54" s="79" t="str">
        <f aca="false">IF(AND($C64="Goal",R$7&gt;=$F64,R$7&lt;=$F64+$G64-1),2,IF(AND($C64="Milestone",R$7&gt;=$F64,R$7&lt;=$F64+$G64-1),1,""))</f>
        <v/>
      </c>
      <c r="S54" s="79" t="str">
        <f aca="false">IF(AND($C64="Goal",S$7&gt;=$F64,S$7&lt;=$F64+$G64-1),2,IF(AND($C64="Milestone",S$7&gt;=$F64,S$7&lt;=$F64+$G64-1),1,""))</f>
        <v/>
      </c>
      <c r="T54" s="79" t="str">
        <f aca="false">IF(AND($C64="Goal",T$7&gt;=$F64,T$7&lt;=$F64+$G64-1),2,IF(AND($C64="Milestone",T$7&gt;=$F64,T$7&lt;=$F64+$G64-1),1,""))</f>
        <v/>
      </c>
      <c r="U54" s="79" t="str">
        <f aca="false">IF(AND($C64="Goal",U$7&gt;=$F64,U$7&lt;=$F64+$G64-1),2,IF(AND($C64="Milestone",U$7&gt;=$F64,U$7&lt;=$F64+$G64-1),1,""))</f>
        <v/>
      </c>
      <c r="V54" s="79" t="str">
        <f aca="false">IF(AND($C64="Goal",V$7&gt;=$F64,V$7&lt;=$F64+$G64-1),2,IF(AND($C64="Milestone",V$7&gt;=$F64,V$7&lt;=$F64+$G64-1),1,""))</f>
        <v/>
      </c>
      <c r="W54" s="79" t="str">
        <f aca="false">IF(AND($C64="Goal",W$7&gt;=$F64,W$7&lt;=$F64+$G64-1),2,IF(AND($C64="Milestone",W$7&gt;=$F64,W$7&lt;=$F64+$G64-1),1,""))</f>
        <v/>
      </c>
      <c r="X54" s="79" t="str">
        <f aca="false">IF(AND($C64="Goal",X$7&gt;=$F64,X$7&lt;=$F64+$G64-1),2,IF(AND($C64="Milestone",X$7&gt;=$F64,X$7&lt;=$F64+$G64-1),1,""))</f>
        <v/>
      </c>
      <c r="Y54" s="79" t="str">
        <f aca="false">IF(AND($C64="Goal",Y$7&gt;=$F64,Y$7&lt;=$F64+$G64-1),2,IF(AND($C64="Milestone",Y$7&gt;=$F64,Y$7&lt;=$F64+$G64-1),1,""))</f>
        <v/>
      </c>
      <c r="Z54" s="79" t="str">
        <f aca="false">IF(AND($C64="Goal",Z$7&gt;=$F64,Z$7&lt;=$F64+$G64-1),2,IF(AND($C64="Milestone",Z$7&gt;=$F64,Z$7&lt;=$F64+$G64-1),1,""))</f>
        <v/>
      </c>
      <c r="AA54" s="79" t="str">
        <f aca="false">IF(AND($C64="Goal",AA$7&gt;=$F64,AA$7&lt;=$F64+$G64-1),2,IF(AND($C64="Milestone",AA$7&gt;=$F64,AA$7&lt;=$F64+$G64-1),1,""))</f>
        <v/>
      </c>
      <c r="AB54" s="79" t="str">
        <f aca="false">IF(AND($C64="Goal",AB$7&gt;=$F64,AB$7&lt;=$F64+$G64-1),2,IF(AND($C64="Milestone",AB$7&gt;=$F64,AB$7&lt;=$F64+$G64-1),1,""))</f>
        <v/>
      </c>
      <c r="AC54" s="79" t="str">
        <f aca="false">IF(AND($C64="Goal",AC$7&gt;=$F64,AC$7&lt;=$F64+$G64-1),2,IF(AND($C64="Milestone",AC$7&gt;=$F64,AC$7&lt;=$F64+$G64-1),1,""))</f>
        <v/>
      </c>
      <c r="AD54" s="79" t="str">
        <f aca="false">IF(AND($C64="Goal",AD$7&gt;=$F64,AD$7&lt;=$F64+$G64-1),2,IF(AND($C64="Milestone",AD$7&gt;=$F64,AD$7&lt;=$F64+$G64-1),1,""))</f>
        <v/>
      </c>
      <c r="AE54" s="79" t="str">
        <f aca="false">IF(AND($C64="Goal",AE$7&gt;=$F64,AE$7&lt;=$F64+$G64-1),2,IF(AND($C64="Milestone",AE$7&gt;=$F64,AE$7&lt;=$F64+$G64-1),1,""))</f>
        <v/>
      </c>
      <c r="AF54" s="79" t="str">
        <f aca="false">IF(AND($C64="Goal",AF$7&gt;=$F64,AF$7&lt;=$F64+$G64-1),2,IF(AND($C64="Milestone",AF$7&gt;=$F64,AF$7&lt;=$F64+$G64-1),1,""))</f>
        <v/>
      </c>
      <c r="AG54" s="79" t="str">
        <f aca="false">IF(AND($C64="Goal",AG$7&gt;=$F64,AG$7&lt;=$F64+$G64-1),2,IF(AND($C64="Milestone",AG$7&gt;=$F64,AG$7&lt;=$F64+$G64-1),1,""))</f>
        <v/>
      </c>
      <c r="AH54" s="79" t="str">
        <f aca="false">IF(AND($C64="Goal",AH$7&gt;=$F64,AH$7&lt;=$F64+$G64-1),2,IF(AND($C64="Milestone",AH$7&gt;=$F64,AH$7&lt;=$F64+$G64-1),1,""))</f>
        <v/>
      </c>
      <c r="AI54" s="79" t="str">
        <f aca="false">IF(AND($C64="Goal",AI$7&gt;=$F64,AI$7&lt;=$F64+$G64-1),2,IF(AND($C64="Milestone",AI$7&gt;=$F64,AI$7&lt;=$F64+$G64-1),1,""))</f>
        <v/>
      </c>
      <c r="AJ54" s="79" t="str">
        <f aca="false">IF(AND($C64="Goal",AJ$7&gt;=$F64,AJ$7&lt;=$F64+$G64-1),2,IF(AND($C64="Milestone",AJ$7&gt;=$F64,AJ$7&lt;=$F64+$G64-1),1,""))</f>
        <v/>
      </c>
      <c r="AK54" s="79" t="str">
        <f aca="false">IF(AND($C64="Goal",AK$7&gt;=$F64,AK$7&lt;=$F64+$G64-1),2,IF(AND($C64="Milestone",AK$7&gt;=$F64,AK$7&lt;=$F64+$G64-1),1,""))</f>
        <v/>
      </c>
      <c r="AL54" s="79" t="str">
        <f aca="false">IF(AND($C64="Goal",AL$7&gt;=$F64,AL$7&lt;=$F64+$G64-1),2,IF(AND($C64="Milestone",AL$7&gt;=$F64,AL$7&lt;=$F64+$G64-1),1,""))</f>
        <v/>
      </c>
      <c r="AM54" s="79" t="str">
        <f aca="false">IF(AND($C64="Goal",AM$7&gt;=$F64,AM$7&lt;=$F64+$G64-1),2,IF(AND($C64="Milestone",AM$7&gt;=$F64,AM$7&lt;=$F64+$G64-1),1,""))</f>
        <v/>
      </c>
      <c r="AN54" s="79" t="str">
        <f aca="false">IF(AND($C64="Goal",AN$7&gt;=$F64,AN$7&lt;=$F64+$G64-1),2,IF(AND($C64="Milestone",AN$7&gt;=$F64,AN$7&lt;=$F64+$G64-1),1,""))</f>
        <v/>
      </c>
      <c r="AO54" s="79" t="str">
        <f aca="false">IF(AND($C64="Goal",AO$7&gt;=$F64,AO$7&lt;=$F64+$G64-1),2,IF(AND($C64="Milestone",AO$7&gt;=$F64,AO$7&lt;=$F64+$G64-1),1,""))</f>
        <v/>
      </c>
      <c r="AP54" s="79" t="str">
        <f aca="false">IF(AND($C64="Goal",AP$7&gt;=$F64,AP$7&lt;=$F64+$G64-1),2,IF(AND($C64="Milestone",AP$7&gt;=$F64,AP$7&lt;=$F64+$G64-1),1,""))</f>
        <v/>
      </c>
      <c r="AQ54" s="79" t="str">
        <f aca="false">IF(AND($C64="Goal",AQ$7&gt;=$F64,AQ$7&lt;=$F64+$G64-1),2,IF(AND($C64="Milestone",AQ$7&gt;=$F64,AQ$7&lt;=$F64+$G64-1),1,""))</f>
        <v/>
      </c>
      <c r="AR54" s="79" t="str">
        <f aca="false">IF(AND($C64="Goal",AR$7&gt;=$F64,AR$7&lt;=$F64+$G64-1),2,IF(AND($C64="Milestone",AR$7&gt;=$F64,AR$7&lt;=$F64+$G64-1),1,""))</f>
        <v/>
      </c>
      <c r="AS54" s="79" t="str">
        <f aca="false">IF(AND($C64="Goal",AS$7&gt;=$F64,AS$7&lt;=$F64+$G64-1),2,IF(AND($C64="Milestone",AS$7&gt;=$F64,AS$7&lt;=$F64+$G64-1),1,""))</f>
        <v/>
      </c>
      <c r="AT54" s="79" t="str">
        <f aca="false">IF(AND($C64="Goal",AT$7&gt;=$F64,AT$7&lt;=$F64+$G64-1),2,IF(AND($C64="Milestone",AT$7&gt;=$F64,AT$7&lt;=$F64+$G64-1),1,""))</f>
        <v/>
      </c>
      <c r="AU54" s="79" t="str">
        <f aca="false">IF(AND($C64="Goal",AU$7&gt;=$F64,AU$7&lt;=$F64+$G64-1),2,IF(AND($C64="Milestone",AU$7&gt;=$F64,AU$7&lt;=$F64+$G64-1),1,""))</f>
        <v/>
      </c>
      <c r="AV54" s="79" t="str">
        <f aca="false">IF(AND($C64="Goal",AV$7&gt;=$F64,AV$7&lt;=$F64+$G64-1),2,IF(AND($C64="Milestone",AV$7&gt;=$F64,AV$7&lt;=$F64+$G64-1),1,""))</f>
        <v/>
      </c>
      <c r="AW54" s="79" t="str">
        <f aca="false">IF(AND($C64="Goal",AW$7&gt;=$F64,AW$7&lt;=$F64+$G64-1),2,IF(AND($C64="Milestone",AW$7&gt;=$F64,AW$7&lt;=$F64+$G64-1),1,""))</f>
        <v/>
      </c>
      <c r="AX54" s="79" t="str">
        <f aca="false">IF(AND($C64="Goal",AX$7&gt;=$F64,AX$7&lt;=$F64+$G64-1),2,IF(AND($C64="Milestone",AX$7&gt;=$F64,AX$7&lt;=$F64+$G64-1),1,""))</f>
        <v/>
      </c>
      <c r="AY54" s="79" t="str">
        <f aca="false">IF(AND($C64="Goal",AY$7&gt;=$F64,AY$7&lt;=$F64+$G64-1),2,IF(AND($C64="Milestone",AY$7&gt;=$F64,AY$7&lt;=$F64+$G64-1),1,""))</f>
        <v/>
      </c>
      <c r="AZ54" s="79" t="str">
        <f aca="false">IF(AND($C64="Goal",AZ$7&gt;=$F64,AZ$7&lt;=$F64+$G64-1),2,IF(AND($C64="Milestone",AZ$7&gt;=$F64,AZ$7&lt;=$F64+$G64-1),1,""))</f>
        <v/>
      </c>
      <c r="BA54" s="79" t="str">
        <f aca="false">IF(AND($C64="Goal",BA$7&gt;=$F64,BA$7&lt;=$F64+$G64-1),2,IF(AND($C64="Milestone",BA$7&gt;=$F64,BA$7&lt;=$F64+$G64-1),1,""))</f>
        <v/>
      </c>
      <c r="BB54" s="79" t="str">
        <f aca="false">IF(AND($C64="Goal",BB$7&gt;=$F64,BB$7&lt;=$F64+$G64-1),2,IF(AND($C64="Milestone",BB$7&gt;=$F64,BB$7&lt;=$F64+$G64-1),1,""))</f>
        <v/>
      </c>
      <c r="BC54" s="79" t="str">
        <f aca="false">IF(AND($C64="Goal",BC$7&gt;=$F64,BC$7&lt;=$F64+$G64-1),2,IF(AND($C64="Milestone",BC$7&gt;=$F64,BC$7&lt;=$F64+$G64-1),1,""))</f>
        <v/>
      </c>
      <c r="BD54" s="79" t="str">
        <f aca="false">IF(AND($C64="Goal",BD$7&gt;=$F64,BD$7&lt;=$F64+$G64-1),2,IF(AND($C64="Milestone",BD$7&gt;=$F64,BD$7&lt;=$F64+$G64-1),1,""))</f>
        <v/>
      </c>
      <c r="BE54" s="79" t="str">
        <f aca="false">IF(AND($C64="Goal",BE$7&gt;=$F64,BE$7&lt;=$F64+$G64-1),2,IF(AND($C64="Milestone",BE$7&gt;=$F64,BE$7&lt;=$F64+$G64-1),1,""))</f>
        <v/>
      </c>
      <c r="BF54" s="79" t="str">
        <f aca="false">IF(AND($C64="Goal",BF$7&gt;=$F64,BF$7&lt;=$F64+$G64-1),2,IF(AND($C64="Milestone",BF$7&gt;=$F64,BF$7&lt;=$F64+$G64-1),1,""))</f>
        <v/>
      </c>
      <c r="BG54" s="79" t="str">
        <f aca="false">IF(AND($C64="Goal",BG$7&gt;=$F64,BG$7&lt;=$F64+$G64-1),2,IF(AND($C64="Milestone",BG$7&gt;=$F64,BG$7&lt;=$F64+$G64-1),1,""))</f>
        <v/>
      </c>
      <c r="BH54" s="79" t="str">
        <f aca="false">IF(AND($C64="Goal",BH$7&gt;=$F64,BH$7&lt;=$F64+$G64-1),2,IF(AND($C64="Milestone",BH$7&gt;=$F64,BH$7&lt;=$F64+$G64-1),1,""))</f>
        <v/>
      </c>
      <c r="BI54" s="79" t="str">
        <f aca="false">IF(AND($C64="Goal",BI$7&gt;=$F64,BI$7&lt;=$F64+$G64-1),2,IF(AND($C64="Milestone",BI$7&gt;=$F64,BI$7&lt;=$F64+$G64-1),1,""))</f>
        <v/>
      </c>
      <c r="BJ54" s="79" t="str">
        <f aca="false">IF(AND($C64="Goal",BJ$7&gt;=$F64,BJ$7&lt;=$F64+$G64-1),2,IF(AND($C64="Milestone",BJ$7&gt;=$F64,BJ$7&lt;=$F64+$G64-1),1,""))</f>
        <v/>
      </c>
      <c r="BK54" s="79" t="str">
        <f aca="false">IF(AND($C64="Goal",BK$7&gt;=$F64,BK$7&lt;=$F64+$G64-1),2,IF(AND($C64="Milestone",BK$7&gt;=$F64,BK$7&lt;=$F64+$G64-1),1,""))</f>
        <v/>
      </c>
      <c r="BL54" s="79" t="str">
        <f aca="false">IF(AND($C64="Goal",BL$7&gt;=$F64,BL$7&lt;=$F64+$G64-1),2,IF(AND($C64="Milestone",BL$7&gt;=$F64,BL$7&lt;=$F64+$G64-1),1,""))</f>
        <v/>
      </c>
    </row>
    <row r="55" s="25" customFormat="true" ht="39.75" hidden="false" customHeight="true" outlineLevel="0" collapsed="false">
      <c r="A55" s="13"/>
      <c r="B55" s="88" t="s">
        <v>68</v>
      </c>
      <c r="C55" s="67" t="s">
        <v>20</v>
      </c>
      <c r="D55" s="67" t="s">
        <v>36</v>
      </c>
      <c r="E55" s="68" t="n">
        <v>0</v>
      </c>
      <c r="F55" s="69" t="n">
        <v>45961</v>
      </c>
      <c r="G55" s="70" t="n">
        <v>7</v>
      </c>
      <c r="H55" s="67"/>
      <c r="I55" s="79" t="str">
        <f aca="false">IF(AND($C65="Goal",I$7&gt;=$F65,I$7&lt;=$F65+$G65-1),2,IF(AND($C65="Milestone",I$7&gt;=$F65,I$7&lt;=$F65+$G65-1),1,""))</f>
        <v/>
      </c>
      <c r="J55" s="79" t="str">
        <f aca="false">IF(AND($C65="Goal",J$7&gt;=$F65,J$7&lt;=$F65+$G65-1),2,IF(AND($C65="Milestone",J$7&gt;=$F65,J$7&lt;=$F65+$G65-1),1,""))</f>
        <v/>
      </c>
      <c r="K55" s="79" t="str">
        <f aca="false">IF(AND($C65="Goal",K$7&gt;=$F65,K$7&lt;=$F65+$G65-1),2,IF(AND($C65="Milestone",K$7&gt;=$F65,K$7&lt;=$F65+$G65-1),1,""))</f>
        <v/>
      </c>
      <c r="L55" s="79" t="str">
        <f aca="false">IF(AND($C65="Goal",L$7&gt;=$F65,L$7&lt;=$F65+$G65-1),2,IF(AND($C65="Milestone",L$7&gt;=$F65,L$7&lt;=$F65+$G65-1),1,""))</f>
        <v/>
      </c>
      <c r="M55" s="79" t="str">
        <f aca="false">IF(AND($C65="Goal",M$7&gt;=$F65,M$7&lt;=$F65+$G65-1),2,IF(AND($C65="Milestone",M$7&gt;=$F65,M$7&lt;=$F65+$G65-1),1,""))</f>
        <v/>
      </c>
      <c r="N55" s="79" t="str">
        <f aca="false">IF(AND($C65="Goal",N$7&gt;=$F65,N$7&lt;=$F65+$G65-1),2,IF(AND($C65="Milestone",N$7&gt;=$F65,N$7&lt;=$F65+$G65-1),1,""))</f>
        <v/>
      </c>
      <c r="O55" s="79" t="str">
        <f aca="false">IF(AND($C65="Goal",O$7&gt;=$F65,O$7&lt;=$F65+$G65-1),2,IF(AND($C65="Milestone",O$7&gt;=$F65,O$7&lt;=$F65+$G65-1),1,""))</f>
        <v/>
      </c>
      <c r="P55" s="79" t="str">
        <f aca="false">IF(AND($C65="Goal",P$7&gt;=$F65,P$7&lt;=$F65+$G65-1),2,IF(AND($C65="Milestone",P$7&gt;=$F65,P$7&lt;=$F65+$G65-1),1,""))</f>
        <v/>
      </c>
      <c r="Q55" s="79" t="str">
        <f aca="false">IF(AND($C65="Goal",Q$7&gt;=$F65,Q$7&lt;=$F65+$G65-1),2,IF(AND($C65="Milestone",Q$7&gt;=$F65,Q$7&lt;=$F65+$G65-1),1,""))</f>
        <v/>
      </c>
      <c r="R55" s="79" t="str">
        <f aca="false">IF(AND($C65="Goal",R$7&gt;=$F65,R$7&lt;=$F65+$G65-1),2,IF(AND($C65="Milestone",R$7&gt;=$F65,R$7&lt;=$F65+$G65-1),1,""))</f>
        <v/>
      </c>
      <c r="S55" s="79" t="str">
        <f aca="false">IF(AND($C65="Goal",S$7&gt;=$F65,S$7&lt;=$F65+$G65-1),2,IF(AND($C65="Milestone",S$7&gt;=$F65,S$7&lt;=$F65+$G65-1),1,""))</f>
        <v/>
      </c>
      <c r="T55" s="79" t="str">
        <f aca="false">IF(AND($C65="Goal",T$7&gt;=$F65,T$7&lt;=$F65+$G65-1),2,IF(AND($C65="Milestone",T$7&gt;=$F65,T$7&lt;=$F65+$G65-1),1,""))</f>
        <v/>
      </c>
      <c r="U55" s="79" t="str">
        <f aca="false">IF(AND($C65="Goal",U$7&gt;=$F65,U$7&lt;=$F65+$G65-1),2,IF(AND($C65="Milestone",U$7&gt;=$F65,U$7&lt;=$F65+$G65-1),1,""))</f>
        <v/>
      </c>
      <c r="V55" s="79" t="str">
        <f aca="false">IF(AND($C65="Goal",V$7&gt;=$F65,V$7&lt;=$F65+$G65-1),2,IF(AND($C65="Milestone",V$7&gt;=$F65,V$7&lt;=$F65+$G65-1),1,""))</f>
        <v/>
      </c>
      <c r="W55" s="79" t="str">
        <f aca="false">IF(AND($C65="Goal",W$7&gt;=$F65,W$7&lt;=$F65+$G65-1),2,IF(AND($C65="Milestone",W$7&gt;=$F65,W$7&lt;=$F65+$G65-1),1,""))</f>
        <v/>
      </c>
      <c r="X55" s="79" t="str">
        <f aca="false">IF(AND($C65="Goal",X$7&gt;=$F65,X$7&lt;=$F65+$G65-1),2,IF(AND($C65="Milestone",X$7&gt;=$F65,X$7&lt;=$F65+$G65-1),1,""))</f>
        <v/>
      </c>
      <c r="Y55" s="79" t="str">
        <f aca="false">IF(AND($C65="Goal",Y$7&gt;=$F65,Y$7&lt;=$F65+$G65-1),2,IF(AND($C65="Milestone",Y$7&gt;=$F65,Y$7&lt;=$F65+$G65-1),1,""))</f>
        <v/>
      </c>
      <c r="Z55" s="79" t="str">
        <f aca="false">IF(AND($C65="Goal",Z$7&gt;=$F65,Z$7&lt;=$F65+$G65-1),2,IF(AND($C65="Milestone",Z$7&gt;=$F65,Z$7&lt;=$F65+$G65-1),1,""))</f>
        <v/>
      </c>
      <c r="AA55" s="79" t="str">
        <f aca="false">IF(AND($C65="Goal",AA$7&gt;=$F65,AA$7&lt;=$F65+$G65-1),2,IF(AND($C65="Milestone",AA$7&gt;=$F65,AA$7&lt;=$F65+$G65-1),1,""))</f>
        <v/>
      </c>
      <c r="AB55" s="79" t="str">
        <f aca="false">IF(AND($C65="Goal",AB$7&gt;=$F65,AB$7&lt;=$F65+$G65-1),2,IF(AND($C65="Milestone",AB$7&gt;=$F65,AB$7&lt;=$F65+$G65-1),1,""))</f>
        <v/>
      </c>
      <c r="AC55" s="79" t="str">
        <f aca="false">IF(AND($C65="Goal",AC$7&gt;=$F65,AC$7&lt;=$F65+$G65-1),2,IF(AND($C65="Milestone",AC$7&gt;=$F65,AC$7&lt;=$F65+$G65-1),1,""))</f>
        <v/>
      </c>
      <c r="AD55" s="79" t="str">
        <f aca="false">IF(AND($C65="Goal",AD$7&gt;=$F65,AD$7&lt;=$F65+$G65-1),2,IF(AND($C65="Milestone",AD$7&gt;=$F65,AD$7&lt;=$F65+$G65-1),1,""))</f>
        <v/>
      </c>
      <c r="AE55" s="79" t="str">
        <f aca="false">IF(AND($C65="Goal",AE$7&gt;=$F65,AE$7&lt;=$F65+$G65-1),2,IF(AND($C65="Milestone",AE$7&gt;=$F65,AE$7&lt;=$F65+$G65-1),1,""))</f>
        <v/>
      </c>
      <c r="AF55" s="79" t="str">
        <f aca="false">IF(AND($C65="Goal",AF$7&gt;=$F65,AF$7&lt;=$F65+$G65-1),2,IF(AND($C65="Milestone",AF$7&gt;=$F65,AF$7&lt;=$F65+$G65-1),1,""))</f>
        <v/>
      </c>
      <c r="AG55" s="79" t="str">
        <f aca="false">IF(AND($C65="Goal",AG$7&gt;=$F65,AG$7&lt;=$F65+$G65-1),2,IF(AND($C65="Milestone",AG$7&gt;=$F65,AG$7&lt;=$F65+$G65-1),1,""))</f>
        <v/>
      </c>
      <c r="AH55" s="79" t="str">
        <f aca="false">IF(AND($C65="Goal",AH$7&gt;=$F65,AH$7&lt;=$F65+$G65-1),2,IF(AND($C65="Milestone",AH$7&gt;=$F65,AH$7&lt;=$F65+$G65-1),1,""))</f>
        <v/>
      </c>
      <c r="AI55" s="79" t="str">
        <f aca="false">IF(AND($C65="Goal",AI$7&gt;=$F65,AI$7&lt;=$F65+$G65-1),2,IF(AND($C65="Milestone",AI$7&gt;=$F65,AI$7&lt;=$F65+$G65-1),1,""))</f>
        <v/>
      </c>
      <c r="AJ55" s="79" t="str">
        <f aca="false">IF(AND($C65="Goal",AJ$7&gt;=$F65,AJ$7&lt;=$F65+$G65-1),2,IF(AND($C65="Milestone",AJ$7&gt;=$F65,AJ$7&lt;=$F65+$G65-1),1,""))</f>
        <v/>
      </c>
      <c r="AK55" s="79" t="str">
        <f aca="false">IF(AND($C65="Goal",AK$7&gt;=$F65,AK$7&lt;=$F65+$G65-1),2,IF(AND($C65="Milestone",AK$7&gt;=$F65,AK$7&lt;=$F65+$G65-1),1,""))</f>
        <v/>
      </c>
      <c r="AL55" s="79" t="str">
        <f aca="false">IF(AND($C65="Goal",AL$7&gt;=$F65,AL$7&lt;=$F65+$G65-1),2,IF(AND($C65="Milestone",AL$7&gt;=$F65,AL$7&lt;=$F65+$G65-1),1,""))</f>
        <v/>
      </c>
      <c r="AM55" s="79" t="str">
        <f aca="false">IF(AND($C65="Goal",AM$7&gt;=$F65,AM$7&lt;=$F65+$G65-1),2,IF(AND($C65="Milestone",AM$7&gt;=$F65,AM$7&lt;=$F65+$G65-1),1,""))</f>
        <v/>
      </c>
      <c r="AN55" s="79" t="str">
        <f aca="false">IF(AND($C65="Goal",AN$7&gt;=$F65,AN$7&lt;=$F65+$G65-1),2,IF(AND($C65="Milestone",AN$7&gt;=$F65,AN$7&lt;=$F65+$G65-1),1,""))</f>
        <v/>
      </c>
      <c r="AO55" s="79" t="str">
        <f aca="false">IF(AND($C65="Goal",AO$7&gt;=$F65,AO$7&lt;=$F65+$G65-1),2,IF(AND($C65="Milestone",AO$7&gt;=$F65,AO$7&lt;=$F65+$G65-1),1,""))</f>
        <v/>
      </c>
      <c r="AP55" s="79" t="str">
        <f aca="false">IF(AND($C65="Goal",AP$7&gt;=$F65,AP$7&lt;=$F65+$G65-1),2,IF(AND($C65="Milestone",AP$7&gt;=$F65,AP$7&lt;=$F65+$G65-1),1,""))</f>
        <v/>
      </c>
      <c r="AQ55" s="79" t="str">
        <f aca="false">IF(AND($C65="Goal",AQ$7&gt;=$F65,AQ$7&lt;=$F65+$G65-1),2,IF(AND($C65="Milestone",AQ$7&gt;=$F65,AQ$7&lt;=$F65+$G65-1),1,""))</f>
        <v/>
      </c>
      <c r="AR55" s="79" t="str">
        <f aca="false">IF(AND($C65="Goal",AR$7&gt;=$F65,AR$7&lt;=$F65+$G65-1),2,IF(AND($C65="Milestone",AR$7&gt;=$F65,AR$7&lt;=$F65+$G65-1),1,""))</f>
        <v/>
      </c>
      <c r="AS55" s="79" t="str">
        <f aca="false">IF(AND($C65="Goal",AS$7&gt;=$F65,AS$7&lt;=$F65+$G65-1),2,IF(AND($C65="Milestone",AS$7&gt;=$F65,AS$7&lt;=$F65+$G65-1),1,""))</f>
        <v/>
      </c>
      <c r="AT55" s="79" t="str">
        <f aca="false">IF(AND($C65="Goal",AT$7&gt;=$F65,AT$7&lt;=$F65+$G65-1),2,IF(AND($C65="Milestone",AT$7&gt;=$F65,AT$7&lt;=$F65+$G65-1),1,""))</f>
        <v/>
      </c>
      <c r="AU55" s="79" t="str">
        <f aca="false">IF(AND($C65="Goal",AU$7&gt;=$F65,AU$7&lt;=$F65+$G65-1),2,IF(AND($C65="Milestone",AU$7&gt;=$F65,AU$7&lt;=$F65+$G65-1),1,""))</f>
        <v/>
      </c>
      <c r="AV55" s="79" t="str">
        <f aca="false">IF(AND($C65="Goal",AV$7&gt;=$F65,AV$7&lt;=$F65+$G65-1),2,IF(AND($C65="Milestone",AV$7&gt;=$F65,AV$7&lt;=$F65+$G65-1),1,""))</f>
        <v/>
      </c>
      <c r="AW55" s="79" t="str">
        <f aca="false">IF(AND($C65="Goal",AW$7&gt;=$F65,AW$7&lt;=$F65+$G65-1),2,IF(AND($C65="Milestone",AW$7&gt;=$F65,AW$7&lt;=$F65+$G65-1),1,""))</f>
        <v/>
      </c>
      <c r="AX55" s="79" t="str">
        <f aca="false">IF(AND($C65="Goal",AX$7&gt;=$F65,AX$7&lt;=$F65+$G65-1),2,IF(AND($C65="Milestone",AX$7&gt;=$F65,AX$7&lt;=$F65+$G65-1),1,""))</f>
        <v/>
      </c>
      <c r="AY55" s="79" t="str">
        <f aca="false">IF(AND($C65="Goal",AY$7&gt;=$F65,AY$7&lt;=$F65+$G65-1),2,IF(AND($C65="Milestone",AY$7&gt;=$F65,AY$7&lt;=$F65+$G65-1),1,""))</f>
        <v/>
      </c>
      <c r="AZ55" s="79" t="str">
        <f aca="false">IF(AND($C65="Goal",AZ$7&gt;=$F65,AZ$7&lt;=$F65+$G65-1),2,IF(AND($C65="Milestone",AZ$7&gt;=$F65,AZ$7&lt;=$F65+$G65-1),1,""))</f>
        <v/>
      </c>
      <c r="BA55" s="79" t="str">
        <f aca="false">IF(AND($C65="Goal",BA$7&gt;=$F65,BA$7&lt;=$F65+$G65-1),2,IF(AND($C65="Milestone",BA$7&gt;=$F65,BA$7&lt;=$F65+$G65-1),1,""))</f>
        <v/>
      </c>
      <c r="BB55" s="79" t="str">
        <f aca="false">IF(AND($C65="Goal",BB$7&gt;=$F65,BB$7&lt;=$F65+$G65-1),2,IF(AND($C65="Milestone",BB$7&gt;=$F65,BB$7&lt;=$F65+$G65-1),1,""))</f>
        <v/>
      </c>
      <c r="BC55" s="79" t="str">
        <f aca="false">IF(AND($C65="Goal",BC$7&gt;=$F65,BC$7&lt;=$F65+$G65-1),2,IF(AND($C65="Milestone",BC$7&gt;=$F65,BC$7&lt;=$F65+$G65-1),1,""))</f>
        <v/>
      </c>
      <c r="BD55" s="79" t="str">
        <f aca="false">IF(AND($C65="Goal",BD$7&gt;=$F65,BD$7&lt;=$F65+$G65-1),2,IF(AND($C65="Milestone",BD$7&gt;=$F65,BD$7&lt;=$F65+$G65-1),1,""))</f>
        <v/>
      </c>
      <c r="BE55" s="79" t="str">
        <f aca="false">IF(AND($C65="Goal",BE$7&gt;=$F65,BE$7&lt;=$F65+$G65-1),2,IF(AND($C65="Milestone",BE$7&gt;=$F65,BE$7&lt;=$F65+$G65-1),1,""))</f>
        <v/>
      </c>
      <c r="BF55" s="79" t="str">
        <f aca="false">IF(AND($C65="Goal",BF$7&gt;=$F65,BF$7&lt;=$F65+$G65-1),2,IF(AND($C65="Milestone",BF$7&gt;=$F65,BF$7&lt;=$F65+$G65-1),1,""))</f>
        <v/>
      </c>
      <c r="BG55" s="79" t="str">
        <f aca="false">IF(AND($C65="Goal",BG$7&gt;=$F65,BG$7&lt;=$F65+$G65-1),2,IF(AND($C65="Milestone",BG$7&gt;=$F65,BG$7&lt;=$F65+$G65-1),1,""))</f>
        <v/>
      </c>
      <c r="BH55" s="79" t="str">
        <f aca="false">IF(AND($C65="Goal",BH$7&gt;=$F65,BH$7&lt;=$F65+$G65-1),2,IF(AND($C65="Milestone",BH$7&gt;=$F65,BH$7&lt;=$F65+$G65-1),1,""))</f>
        <v/>
      </c>
      <c r="BI55" s="79" t="str">
        <f aca="false">IF(AND($C65="Goal",BI$7&gt;=$F65,BI$7&lt;=$F65+$G65-1),2,IF(AND($C65="Milestone",BI$7&gt;=$F65,BI$7&lt;=$F65+$G65-1),1,""))</f>
        <v/>
      </c>
      <c r="BJ55" s="79" t="str">
        <f aca="false">IF(AND($C65="Goal",BJ$7&gt;=$F65,BJ$7&lt;=$F65+$G65-1),2,IF(AND($C65="Milestone",BJ$7&gt;=$F65,BJ$7&lt;=$F65+$G65-1),1,""))</f>
        <v/>
      </c>
      <c r="BK55" s="79" t="str">
        <f aca="false">IF(AND($C65="Goal",BK$7&gt;=$F65,BK$7&lt;=$F65+$G65-1),2,IF(AND($C65="Milestone",BK$7&gt;=$F65,BK$7&lt;=$F65+$G65-1),1,""))</f>
        <v/>
      </c>
      <c r="BL55" s="79" t="str">
        <f aca="false">IF(AND($C65="Goal",BL$7&gt;=$F65,BL$7&lt;=$F65+$G65-1),2,IF(AND($C65="Milestone",BL$7&gt;=$F65,BL$7&lt;=$F65+$G65-1),1,""))</f>
        <v/>
      </c>
    </row>
    <row r="56" s="25" customFormat="true" ht="39.75" hidden="false" customHeight="true" outlineLevel="0" collapsed="false">
      <c r="A56" s="13"/>
      <c r="B56" s="88" t="s">
        <v>69</v>
      </c>
      <c r="C56" s="67" t="s">
        <v>35</v>
      </c>
      <c r="D56" s="67" t="s">
        <v>70</v>
      </c>
      <c r="E56" s="68" t="n">
        <v>1</v>
      </c>
      <c r="F56" s="69" t="n">
        <v>45961</v>
      </c>
      <c r="G56" s="70" t="n">
        <v>7</v>
      </c>
      <c r="H56" s="67"/>
      <c r="I56" s="79" t="str">
        <f aca="false">IF(AND($C66="Goal",I$7&gt;=$F66,I$7&lt;=$F66+$G66-1),2,IF(AND($C66="Milestone",I$7&gt;=$F66,I$7&lt;=$F66+$G66-1),1,""))</f>
        <v/>
      </c>
      <c r="J56" s="79" t="str">
        <f aca="false">IF(AND($C66="Goal",J$7&gt;=$F66,J$7&lt;=$F66+$G66-1),2,IF(AND($C66="Milestone",J$7&gt;=$F66,J$7&lt;=$F66+$G66-1),1,""))</f>
        <v/>
      </c>
      <c r="K56" s="79" t="str">
        <f aca="false">IF(AND($C66="Goal",K$7&gt;=$F66,K$7&lt;=$F66+$G66-1),2,IF(AND($C66="Milestone",K$7&gt;=$F66,K$7&lt;=$F66+$G66-1),1,""))</f>
        <v/>
      </c>
      <c r="L56" s="79" t="str">
        <f aca="false">IF(AND($C66="Goal",L$7&gt;=$F66,L$7&lt;=$F66+$G66-1),2,IF(AND($C66="Milestone",L$7&gt;=$F66,L$7&lt;=$F66+$G66-1),1,""))</f>
        <v/>
      </c>
      <c r="M56" s="79" t="str">
        <f aca="false">IF(AND($C66="Goal",M$7&gt;=$F66,M$7&lt;=$F66+$G66-1),2,IF(AND($C66="Milestone",M$7&gt;=$F66,M$7&lt;=$F66+$G66-1),1,""))</f>
        <v/>
      </c>
      <c r="N56" s="79" t="str">
        <f aca="false">IF(AND($C66="Goal",N$7&gt;=$F66,N$7&lt;=$F66+$G66-1),2,IF(AND($C66="Milestone",N$7&gt;=$F66,N$7&lt;=$F66+$G66-1),1,""))</f>
        <v/>
      </c>
      <c r="O56" s="79" t="str">
        <f aca="false">IF(AND($C66="Goal",O$7&gt;=$F66,O$7&lt;=$F66+$G66-1),2,IF(AND($C66="Milestone",O$7&gt;=$F66,O$7&lt;=$F66+$G66-1),1,""))</f>
        <v/>
      </c>
      <c r="P56" s="79" t="str">
        <f aca="false">IF(AND($C66="Goal",P$7&gt;=$F66,P$7&lt;=$F66+$G66-1),2,IF(AND($C66="Milestone",P$7&gt;=$F66,P$7&lt;=$F66+$G66-1),1,""))</f>
        <v/>
      </c>
      <c r="Q56" s="79" t="str">
        <f aca="false">IF(AND($C66="Goal",Q$7&gt;=$F66,Q$7&lt;=$F66+$G66-1),2,IF(AND($C66="Milestone",Q$7&gt;=$F66,Q$7&lt;=$F66+$G66-1),1,""))</f>
        <v/>
      </c>
      <c r="R56" s="79" t="str">
        <f aca="false">IF(AND($C66="Goal",R$7&gt;=$F66,R$7&lt;=$F66+$G66-1),2,IF(AND($C66="Milestone",R$7&gt;=$F66,R$7&lt;=$F66+$G66-1),1,""))</f>
        <v/>
      </c>
      <c r="S56" s="79" t="str">
        <f aca="false">IF(AND($C66="Goal",S$7&gt;=$F66,S$7&lt;=$F66+$G66-1),2,IF(AND($C66="Milestone",S$7&gt;=$F66,S$7&lt;=$F66+$G66-1),1,""))</f>
        <v/>
      </c>
      <c r="T56" s="79" t="str">
        <f aca="false">IF(AND($C66="Goal",T$7&gt;=$F66,T$7&lt;=$F66+$G66-1),2,IF(AND($C66="Milestone",T$7&gt;=$F66,T$7&lt;=$F66+$G66-1),1,""))</f>
        <v/>
      </c>
      <c r="U56" s="79" t="str">
        <f aca="false">IF(AND($C66="Goal",U$7&gt;=$F66,U$7&lt;=$F66+$G66-1),2,IF(AND($C66="Milestone",U$7&gt;=$F66,U$7&lt;=$F66+$G66-1),1,""))</f>
        <v/>
      </c>
      <c r="V56" s="79" t="str">
        <f aca="false">IF(AND($C66="Goal",V$7&gt;=$F66,V$7&lt;=$F66+$G66-1),2,IF(AND($C66="Milestone",V$7&gt;=$F66,V$7&lt;=$F66+$G66-1),1,""))</f>
        <v/>
      </c>
      <c r="W56" s="79" t="str">
        <f aca="false">IF(AND($C66="Goal",W$7&gt;=$F66,W$7&lt;=$F66+$G66-1),2,IF(AND($C66="Milestone",W$7&gt;=$F66,W$7&lt;=$F66+$G66-1),1,""))</f>
        <v/>
      </c>
      <c r="X56" s="79" t="str">
        <f aca="false">IF(AND($C66="Goal",X$7&gt;=$F66,X$7&lt;=$F66+$G66-1),2,IF(AND($C66="Milestone",X$7&gt;=$F66,X$7&lt;=$F66+$G66-1),1,""))</f>
        <v/>
      </c>
      <c r="Y56" s="79" t="str">
        <f aca="false">IF(AND($C66="Goal",Y$7&gt;=$F66,Y$7&lt;=$F66+$G66-1),2,IF(AND($C66="Milestone",Y$7&gt;=$F66,Y$7&lt;=$F66+$G66-1),1,""))</f>
        <v/>
      </c>
      <c r="Z56" s="79" t="str">
        <f aca="false">IF(AND($C66="Goal",Z$7&gt;=$F66,Z$7&lt;=$F66+$G66-1),2,IF(AND($C66="Milestone",Z$7&gt;=$F66,Z$7&lt;=$F66+$G66-1),1,""))</f>
        <v/>
      </c>
      <c r="AA56" s="79" t="str">
        <f aca="false">IF(AND($C66="Goal",AA$7&gt;=$F66,AA$7&lt;=$F66+$G66-1),2,IF(AND($C66="Milestone",AA$7&gt;=$F66,AA$7&lt;=$F66+$G66-1),1,""))</f>
        <v/>
      </c>
      <c r="AB56" s="79" t="str">
        <f aca="false">IF(AND($C66="Goal",AB$7&gt;=$F66,AB$7&lt;=$F66+$G66-1),2,IF(AND($C66="Milestone",AB$7&gt;=$F66,AB$7&lt;=$F66+$G66-1),1,""))</f>
        <v/>
      </c>
      <c r="AC56" s="79" t="str">
        <f aca="false">IF(AND($C66="Goal",AC$7&gt;=$F66,AC$7&lt;=$F66+$G66-1),2,IF(AND($C66="Milestone",AC$7&gt;=$F66,AC$7&lt;=$F66+$G66-1),1,""))</f>
        <v/>
      </c>
      <c r="AD56" s="79" t="str">
        <f aca="false">IF(AND($C66="Goal",AD$7&gt;=$F66,AD$7&lt;=$F66+$G66-1),2,IF(AND($C66="Milestone",AD$7&gt;=$F66,AD$7&lt;=$F66+$G66-1),1,""))</f>
        <v/>
      </c>
      <c r="AE56" s="79" t="str">
        <f aca="false">IF(AND($C66="Goal",AE$7&gt;=$F66,AE$7&lt;=$F66+$G66-1),2,IF(AND($C66="Milestone",AE$7&gt;=$F66,AE$7&lt;=$F66+$G66-1),1,""))</f>
        <v/>
      </c>
      <c r="AF56" s="79" t="str">
        <f aca="false">IF(AND($C66="Goal",AF$7&gt;=$F66,AF$7&lt;=$F66+$G66-1),2,IF(AND($C66="Milestone",AF$7&gt;=$F66,AF$7&lt;=$F66+$G66-1),1,""))</f>
        <v/>
      </c>
      <c r="AG56" s="79" t="str">
        <f aca="false">IF(AND($C66="Goal",AG$7&gt;=$F66,AG$7&lt;=$F66+$G66-1),2,IF(AND($C66="Milestone",AG$7&gt;=$F66,AG$7&lt;=$F66+$G66-1),1,""))</f>
        <v/>
      </c>
      <c r="AH56" s="79" t="str">
        <f aca="false">IF(AND($C66="Goal",AH$7&gt;=$F66,AH$7&lt;=$F66+$G66-1),2,IF(AND($C66="Milestone",AH$7&gt;=$F66,AH$7&lt;=$F66+$G66-1),1,""))</f>
        <v/>
      </c>
      <c r="AI56" s="79" t="str">
        <f aca="false">IF(AND($C66="Goal",AI$7&gt;=$F66,AI$7&lt;=$F66+$G66-1),2,IF(AND($C66="Milestone",AI$7&gt;=$F66,AI$7&lt;=$F66+$G66-1),1,""))</f>
        <v/>
      </c>
      <c r="AJ56" s="79" t="str">
        <f aca="false">IF(AND($C66="Goal",AJ$7&gt;=$F66,AJ$7&lt;=$F66+$G66-1),2,IF(AND($C66="Milestone",AJ$7&gt;=$F66,AJ$7&lt;=$F66+$G66-1),1,""))</f>
        <v/>
      </c>
      <c r="AK56" s="79" t="str">
        <f aca="false">IF(AND($C66="Goal",AK$7&gt;=$F66,AK$7&lt;=$F66+$G66-1),2,IF(AND($C66="Milestone",AK$7&gt;=$F66,AK$7&lt;=$F66+$G66-1),1,""))</f>
        <v/>
      </c>
      <c r="AL56" s="79" t="str">
        <f aca="false">IF(AND($C66="Goal",AL$7&gt;=$F66,AL$7&lt;=$F66+$G66-1),2,IF(AND($C66="Milestone",AL$7&gt;=$F66,AL$7&lt;=$F66+$G66-1),1,""))</f>
        <v/>
      </c>
      <c r="AM56" s="79" t="str">
        <f aca="false">IF(AND($C66="Goal",AM$7&gt;=$F66,AM$7&lt;=$F66+$G66-1),2,IF(AND($C66="Milestone",AM$7&gt;=$F66,AM$7&lt;=$F66+$G66-1),1,""))</f>
        <v/>
      </c>
      <c r="AN56" s="79" t="str">
        <f aca="false">IF(AND($C66="Goal",AN$7&gt;=$F66,AN$7&lt;=$F66+$G66-1),2,IF(AND($C66="Milestone",AN$7&gt;=$F66,AN$7&lt;=$F66+$G66-1),1,""))</f>
        <v/>
      </c>
      <c r="AO56" s="79" t="str">
        <f aca="false">IF(AND($C66="Goal",AO$7&gt;=$F66,AO$7&lt;=$F66+$G66-1),2,IF(AND($C66="Milestone",AO$7&gt;=$F66,AO$7&lt;=$F66+$G66-1),1,""))</f>
        <v/>
      </c>
      <c r="AP56" s="79" t="str">
        <f aca="false">IF(AND($C66="Goal",AP$7&gt;=$F66,AP$7&lt;=$F66+$G66-1),2,IF(AND($C66="Milestone",AP$7&gt;=$F66,AP$7&lt;=$F66+$G66-1),1,""))</f>
        <v/>
      </c>
      <c r="AQ56" s="79" t="str">
        <f aca="false">IF(AND($C66="Goal",AQ$7&gt;=$F66,AQ$7&lt;=$F66+$G66-1),2,IF(AND($C66="Milestone",AQ$7&gt;=$F66,AQ$7&lt;=$F66+$G66-1),1,""))</f>
        <v/>
      </c>
      <c r="AR56" s="79" t="str">
        <f aca="false">IF(AND($C66="Goal",AR$7&gt;=$F66,AR$7&lt;=$F66+$G66-1),2,IF(AND($C66="Milestone",AR$7&gt;=$F66,AR$7&lt;=$F66+$G66-1),1,""))</f>
        <v/>
      </c>
      <c r="AS56" s="79" t="str">
        <f aca="false">IF(AND($C66="Goal",AS$7&gt;=$F66,AS$7&lt;=$F66+$G66-1),2,IF(AND($C66="Milestone",AS$7&gt;=$F66,AS$7&lt;=$F66+$G66-1),1,""))</f>
        <v/>
      </c>
      <c r="AT56" s="79" t="str">
        <f aca="false">IF(AND($C66="Goal",AT$7&gt;=$F66,AT$7&lt;=$F66+$G66-1),2,IF(AND($C66="Milestone",AT$7&gt;=$F66,AT$7&lt;=$F66+$G66-1),1,""))</f>
        <v/>
      </c>
      <c r="AU56" s="79" t="str">
        <f aca="false">IF(AND($C66="Goal",AU$7&gt;=$F66,AU$7&lt;=$F66+$G66-1),2,IF(AND($C66="Milestone",AU$7&gt;=$F66,AU$7&lt;=$F66+$G66-1),1,""))</f>
        <v/>
      </c>
      <c r="AV56" s="79" t="str">
        <f aca="false">IF(AND($C66="Goal",AV$7&gt;=$F66,AV$7&lt;=$F66+$G66-1),2,IF(AND($C66="Milestone",AV$7&gt;=$F66,AV$7&lt;=$F66+$G66-1),1,""))</f>
        <v/>
      </c>
      <c r="AW56" s="79" t="str">
        <f aca="false">IF(AND($C66="Goal",AW$7&gt;=$F66,AW$7&lt;=$F66+$G66-1),2,IF(AND($C66="Milestone",AW$7&gt;=$F66,AW$7&lt;=$F66+$G66-1),1,""))</f>
        <v/>
      </c>
      <c r="AX56" s="79" t="str">
        <f aca="false">IF(AND($C66="Goal",AX$7&gt;=$F66,AX$7&lt;=$F66+$G66-1),2,IF(AND($C66="Milestone",AX$7&gt;=$F66,AX$7&lt;=$F66+$G66-1),1,""))</f>
        <v/>
      </c>
      <c r="AY56" s="79" t="str">
        <f aca="false">IF(AND($C66="Goal",AY$7&gt;=$F66,AY$7&lt;=$F66+$G66-1),2,IF(AND($C66="Milestone",AY$7&gt;=$F66,AY$7&lt;=$F66+$G66-1),1,""))</f>
        <v/>
      </c>
      <c r="AZ56" s="79" t="str">
        <f aca="false">IF(AND($C66="Goal",AZ$7&gt;=$F66,AZ$7&lt;=$F66+$G66-1),2,IF(AND($C66="Milestone",AZ$7&gt;=$F66,AZ$7&lt;=$F66+$G66-1),1,""))</f>
        <v/>
      </c>
      <c r="BA56" s="79" t="str">
        <f aca="false">IF(AND($C66="Goal",BA$7&gt;=$F66,BA$7&lt;=$F66+$G66-1),2,IF(AND($C66="Milestone",BA$7&gt;=$F66,BA$7&lt;=$F66+$G66-1),1,""))</f>
        <v/>
      </c>
      <c r="BB56" s="79" t="str">
        <f aca="false">IF(AND($C66="Goal",BB$7&gt;=$F66,BB$7&lt;=$F66+$G66-1),2,IF(AND($C66="Milestone",BB$7&gt;=$F66,BB$7&lt;=$F66+$G66-1),1,""))</f>
        <v/>
      </c>
      <c r="BC56" s="79" t="str">
        <f aca="false">IF(AND($C66="Goal",BC$7&gt;=$F66,BC$7&lt;=$F66+$G66-1),2,IF(AND($C66="Milestone",BC$7&gt;=$F66,BC$7&lt;=$F66+$G66-1),1,""))</f>
        <v/>
      </c>
      <c r="BD56" s="79" t="str">
        <f aca="false">IF(AND($C66="Goal",BD$7&gt;=$F66,BD$7&lt;=$F66+$G66-1),2,IF(AND($C66="Milestone",BD$7&gt;=$F66,BD$7&lt;=$F66+$G66-1),1,""))</f>
        <v/>
      </c>
      <c r="BE56" s="79" t="str">
        <f aca="false">IF(AND($C66="Goal",BE$7&gt;=$F66,BE$7&lt;=$F66+$G66-1),2,IF(AND($C66="Milestone",BE$7&gt;=$F66,BE$7&lt;=$F66+$G66-1),1,""))</f>
        <v/>
      </c>
      <c r="BF56" s="79" t="str">
        <f aca="false">IF(AND($C66="Goal",BF$7&gt;=$F66,BF$7&lt;=$F66+$G66-1),2,IF(AND($C66="Milestone",BF$7&gt;=$F66,BF$7&lt;=$F66+$G66-1),1,""))</f>
        <v/>
      </c>
      <c r="BG56" s="79" t="str">
        <f aca="false">IF(AND($C66="Goal",BG$7&gt;=$F66,BG$7&lt;=$F66+$G66-1),2,IF(AND($C66="Milestone",BG$7&gt;=$F66,BG$7&lt;=$F66+$G66-1),1,""))</f>
        <v/>
      </c>
      <c r="BH56" s="79" t="str">
        <f aca="false">IF(AND($C66="Goal",BH$7&gt;=$F66,BH$7&lt;=$F66+$G66-1),2,IF(AND($C66="Milestone",BH$7&gt;=$F66,BH$7&lt;=$F66+$G66-1),1,""))</f>
        <v/>
      </c>
      <c r="BI56" s="79" t="str">
        <f aca="false">IF(AND($C66="Goal",BI$7&gt;=$F66,BI$7&lt;=$F66+$G66-1),2,IF(AND($C66="Milestone",BI$7&gt;=$F66,BI$7&lt;=$F66+$G66-1),1,""))</f>
        <v/>
      </c>
      <c r="BJ56" s="79" t="str">
        <f aca="false">IF(AND($C66="Goal",BJ$7&gt;=$F66,BJ$7&lt;=$F66+$G66-1),2,IF(AND($C66="Milestone",BJ$7&gt;=$F66,BJ$7&lt;=$F66+$G66-1),1,""))</f>
        <v/>
      </c>
      <c r="BK56" s="79" t="str">
        <f aca="false">IF(AND($C66="Goal",BK$7&gt;=$F66,BK$7&lt;=$F66+$G66-1),2,IF(AND($C66="Milestone",BK$7&gt;=$F66,BK$7&lt;=$F66+$G66-1),1,""))</f>
        <v/>
      </c>
      <c r="BL56" s="79" t="str">
        <f aca="false">IF(AND($C66="Goal",BL$7&gt;=$F66,BL$7&lt;=$F66+$G66-1),2,IF(AND($C66="Milestone",BL$7&gt;=$F66,BL$7&lt;=$F66+$G66-1),1,""))</f>
        <v/>
      </c>
    </row>
    <row r="57" s="25" customFormat="true" ht="39.75" hidden="false" customHeight="true" outlineLevel="0" collapsed="false">
      <c r="A57" s="13"/>
      <c r="B57" s="88" t="s">
        <v>71</v>
      </c>
      <c r="C57" s="67" t="s">
        <v>20</v>
      </c>
      <c r="D57" s="67" t="s">
        <v>36</v>
      </c>
      <c r="E57" s="68" t="n">
        <v>1</v>
      </c>
      <c r="F57" s="69" t="n">
        <v>45961</v>
      </c>
      <c r="G57" s="70" t="n">
        <v>7</v>
      </c>
      <c r="H57" s="67"/>
      <c r="I57" s="79" t="str">
        <f aca="false">IF(AND($C67="Goal",I$7&gt;=$F67,I$7&lt;=$F67+$G67-1),2,IF(AND($C67="Milestone",I$7&gt;=$F67,I$7&lt;=$F67+$G67-1),1,""))</f>
        <v/>
      </c>
      <c r="J57" s="79" t="str">
        <f aca="false">IF(AND($C67="Goal",J$7&gt;=$F67,J$7&lt;=$F67+$G67-1),2,IF(AND($C67="Milestone",J$7&gt;=$F67,J$7&lt;=$F67+$G67-1),1,""))</f>
        <v/>
      </c>
      <c r="K57" s="79" t="str">
        <f aca="false">IF(AND($C67="Goal",K$7&gt;=$F67,K$7&lt;=$F67+$G67-1),2,IF(AND($C67="Milestone",K$7&gt;=$F67,K$7&lt;=$F67+$G67-1),1,""))</f>
        <v/>
      </c>
      <c r="L57" s="79" t="str">
        <f aca="false">IF(AND($C67="Goal",L$7&gt;=$F67,L$7&lt;=$F67+$G67-1),2,IF(AND($C67="Milestone",L$7&gt;=$F67,L$7&lt;=$F67+$G67-1),1,""))</f>
        <v/>
      </c>
      <c r="M57" s="79" t="str">
        <f aca="false">IF(AND($C67="Goal",M$7&gt;=$F67,M$7&lt;=$F67+$G67-1),2,IF(AND($C67="Milestone",M$7&gt;=$F67,M$7&lt;=$F67+$G67-1),1,""))</f>
        <v/>
      </c>
      <c r="N57" s="79" t="str">
        <f aca="false">IF(AND($C67="Goal",N$7&gt;=$F67,N$7&lt;=$F67+$G67-1),2,IF(AND($C67="Milestone",N$7&gt;=$F67,N$7&lt;=$F67+$G67-1),1,""))</f>
        <v/>
      </c>
      <c r="O57" s="79" t="str">
        <f aca="false">IF(AND($C67="Goal",O$7&gt;=$F67,O$7&lt;=$F67+$G67-1),2,IF(AND($C67="Milestone",O$7&gt;=$F67,O$7&lt;=$F67+$G67-1),1,""))</f>
        <v/>
      </c>
      <c r="P57" s="79" t="str">
        <f aca="false">IF(AND($C67="Goal",P$7&gt;=$F67,P$7&lt;=$F67+$G67-1),2,IF(AND($C67="Milestone",P$7&gt;=$F67,P$7&lt;=$F67+$G67-1),1,""))</f>
        <v/>
      </c>
      <c r="Q57" s="79" t="str">
        <f aca="false">IF(AND($C67="Goal",Q$7&gt;=$F67,Q$7&lt;=$F67+$G67-1),2,IF(AND($C67="Milestone",Q$7&gt;=$F67,Q$7&lt;=$F67+$G67-1),1,""))</f>
        <v/>
      </c>
      <c r="R57" s="79" t="str">
        <f aca="false">IF(AND($C67="Goal",R$7&gt;=$F67,R$7&lt;=$F67+$G67-1),2,IF(AND($C67="Milestone",R$7&gt;=$F67,R$7&lt;=$F67+$G67-1),1,""))</f>
        <v/>
      </c>
      <c r="S57" s="79" t="str">
        <f aca="false">IF(AND($C67="Goal",S$7&gt;=$F67,S$7&lt;=$F67+$G67-1),2,IF(AND($C67="Milestone",S$7&gt;=$F67,S$7&lt;=$F67+$G67-1),1,""))</f>
        <v/>
      </c>
      <c r="T57" s="79" t="str">
        <f aca="false">IF(AND($C67="Goal",T$7&gt;=$F67,T$7&lt;=$F67+$G67-1),2,IF(AND($C67="Milestone",T$7&gt;=$F67,T$7&lt;=$F67+$G67-1),1,""))</f>
        <v/>
      </c>
      <c r="U57" s="79" t="str">
        <f aca="false">IF(AND($C67="Goal",U$7&gt;=$F67,U$7&lt;=$F67+$G67-1),2,IF(AND($C67="Milestone",U$7&gt;=$F67,U$7&lt;=$F67+$G67-1),1,""))</f>
        <v/>
      </c>
      <c r="V57" s="79" t="str">
        <f aca="false">IF(AND($C67="Goal",V$7&gt;=$F67,V$7&lt;=$F67+$G67-1),2,IF(AND($C67="Milestone",V$7&gt;=$F67,V$7&lt;=$F67+$G67-1),1,""))</f>
        <v/>
      </c>
      <c r="W57" s="79" t="str">
        <f aca="false">IF(AND($C67="Goal",W$7&gt;=$F67,W$7&lt;=$F67+$G67-1),2,IF(AND($C67="Milestone",W$7&gt;=$F67,W$7&lt;=$F67+$G67-1),1,""))</f>
        <v/>
      </c>
      <c r="X57" s="79" t="str">
        <f aca="false">IF(AND($C67="Goal",X$7&gt;=$F67,X$7&lt;=$F67+$G67-1),2,IF(AND($C67="Milestone",X$7&gt;=$F67,X$7&lt;=$F67+$G67-1),1,""))</f>
        <v/>
      </c>
      <c r="Y57" s="79" t="str">
        <f aca="false">IF(AND($C67="Goal",Y$7&gt;=$F67,Y$7&lt;=$F67+$G67-1),2,IF(AND($C67="Milestone",Y$7&gt;=$F67,Y$7&lt;=$F67+$G67-1),1,""))</f>
        <v/>
      </c>
      <c r="Z57" s="79" t="str">
        <f aca="false">IF(AND($C67="Goal",Z$7&gt;=$F67,Z$7&lt;=$F67+$G67-1),2,IF(AND($C67="Milestone",Z$7&gt;=$F67,Z$7&lt;=$F67+$G67-1),1,""))</f>
        <v/>
      </c>
      <c r="AA57" s="79" t="str">
        <f aca="false">IF(AND($C67="Goal",AA$7&gt;=$F67,AA$7&lt;=$F67+$G67-1),2,IF(AND($C67="Milestone",AA$7&gt;=$F67,AA$7&lt;=$F67+$G67-1),1,""))</f>
        <v/>
      </c>
      <c r="AB57" s="79" t="str">
        <f aca="false">IF(AND($C67="Goal",AB$7&gt;=$F67,AB$7&lt;=$F67+$G67-1),2,IF(AND($C67="Milestone",AB$7&gt;=$F67,AB$7&lt;=$F67+$G67-1),1,""))</f>
        <v/>
      </c>
      <c r="AC57" s="79" t="str">
        <f aca="false">IF(AND($C67="Goal",AC$7&gt;=$F67,AC$7&lt;=$F67+$G67-1),2,IF(AND($C67="Milestone",AC$7&gt;=$F67,AC$7&lt;=$F67+$G67-1),1,""))</f>
        <v/>
      </c>
      <c r="AD57" s="79" t="str">
        <f aca="false">IF(AND($C67="Goal",AD$7&gt;=$F67,AD$7&lt;=$F67+$G67-1),2,IF(AND($C67="Milestone",AD$7&gt;=$F67,AD$7&lt;=$F67+$G67-1),1,""))</f>
        <v/>
      </c>
      <c r="AE57" s="79" t="str">
        <f aca="false">IF(AND($C67="Goal",AE$7&gt;=$F67,AE$7&lt;=$F67+$G67-1),2,IF(AND($C67="Milestone",AE$7&gt;=$F67,AE$7&lt;=$F67+$G67-1),1,""))</f>
        <v/>
      </c>
      <c r="AF57" s="79" t="str">
        <f aca="false">IF(AND($C67="Goal",AF$7&gt;=$F67,AF$7&lt;=$F67+$G67-1),2,IF(AND($C67="Milestone",AF$7&gt;=$F67,AF$7&lt;=$F67+$G67-1),1,""))</f>
        <v/>
      </c>
      <c r="AG57" s="79" t="str">
        <f aca="false">IF(AND($C67="Goal",AG$7&gt;=$F67,AG$7&lt;=$F67+$G67-1),2,IF(AND($C67="Milestone",AG$7&gt;=$F67,AG$7&lt;=$F67+$G67-1),1,""))</f>
        <v/>
      </c>
      <c r="AH57" s="79" t="str">
        <f aca="false">IF(AND($C67="Goal",AH$7&gt;=$F67,AH$7&lt;=$F67+$G67-1),2,IF(AND($C67="Milestone",AH$7&gt;=$F67,AH$7&lt;=$F67+$G67-1),1,""))</f>
        <v/>
      </c>
      <c r="AI57" s="79" t="str">
        <f aca="false">IF(AND($C67="Goal",AI$7&gt;=$F67,AI$7&lt;=$F67+$G67-1),2,IF(AND($C67="Milestone",AI$7&gt;=$F67,AI$7&lt;=$F67+$G67-1),1,""))</f>
        <v/>
      </c>
      <c r="AJ57" s="79" t="str">
        <f aca="false">IF(AND($C67="Goal",AJ$7&gt;=$F67,AJ$7&lt;=$F67+$G67-1),2,IF(AND($C67="Milestone",AJ$7&gt;=$F67,AJ$7&lt;=$F67+$G67-1),1,""))</f>
        <v/>
      </c>
      <c r="AK57" s="79" t="str">
        <f aca="false">IF(AND($C67="Goal",AK$7&gt;=$F67,AK$7&lt;=$F67+$G67-1),2,IF(AND($C67="Milestone",AK$7&gt;=$F67,AK$7&lt;=$F67+$G67-1),1,""))</f>
        <v/>
      </c>
      <c r="AL57" s="79" t="str">
        <f aca="false">IF(AND($C67="Goal",AL$7&gt;=$F67,AL$7&lt;=$F67+$G67-1),2,IF(AND($C67="Milestone",AL$7&gt;=$F67,AL$7&lt;=$F67+$G67-1),1,""))</f>
        <v/>
      </c>
      <c r="AM57" s="79" t="str">
        <f aca="false">IF(AND($C67="Goal",AM$7&gt;=$F67,AM$7&lt;=$F67+$G67-1),2,IF(AND($C67="Milestone",AM$7&gt;=$F67,AM$7&lt;=$F67+$G67-1),1,""))</f>
        <v/>
      </c>
      <c r="AN57" s="79" t="str">
        <f aca="false">IF(AND($C67="Goal",AN$7&gt;=$F67,AN$7&lt;=$F67+$G67-1),2,IF(AND($C67="Milestone",AN$7&gt;=$F67,AN$7&lt;=$F67+$G67-1),1,""))</f>
        <v/>
      </c>
      <c r="AO57" s="79" t="str">
        <f aca="false">IF(AND($C67="Goal",AO$7&gt;=$F67,AO$7&lt;=$F67+$G67-1),2,IF(AND($C67="Milestone",AO$7&gt;=$F67,AO$7&lt;=$F67+$G67-1),1,""))</f>
        <v/>
      </c>
      <c r="AP57" s="79" t="str">
        <f aca="false">IF(AND($C67="Goal",AP$7&gt;=$F67,AP$7&lt;=$F67+$G67-1),2,IF(AND($C67="Milestone",AP$7&gt;=$F67,AP$7&lt;=$F67+$G67-1),1,""))</f>
        <v/>
      </c>
      <c r="AQ57" s="79" t="str">
        <f aca="false">IF(AND($C67="Goal",AQ$7&gt;=$F67,AQ$7&lt;=$F67+$G67-1),2,IF(AND($C67="Milestone",AQ$7&gt;=$F67,AQ$7&lt;=$F67+$G67-1),1,""))</f>
        <v/>
      </c>
      <c r="AR57" s="79" t="str">
        <f aca="false">IF(AND($C67="Goal",AR$7&gt;=$F67,AR$7&lt;=$F67+$G67-1),2,IF(AND($C67="Milestone",AR$7&gt;=$F67,AR$7&lt;=$F67+$G67-1),1,""))</f>
        <v/>
      </c>
      <c r="AS57" s="79" t="str">
        <f aca="false">IF(AND($C67="Goal",AS$7&gt;=$F67,AS$7&lt;=$F67+$G67-1),2,IF(AND($C67="Milestone",AS$7&gt;=$F67,AS$7&lt;=$F67+$G67-1),1,""))</f>
        <v/>
      </c>
      <c r="AT57" s="79" t="str">
        <f aca="false">IF(AND($C67="Goal",AT$7&gt;=$F67,AT$7&lt;=$F67+$G67-1),2,IF(AND($C67="Milestone",AT$7&gt;=$F67,AT$7&lt;=$F67+$G67-1),1,""))</f>
        <v/>
      </c>
      <c r="AU57" s="79" t="str">
        <f aca="false">IF(AND($C67="Goal",AU$7&gt;=$F67,AU$7&lt;=$F67+$G67-1),2,IF(AND($C67="Milestone",AU$7&gt;=$F67,AU$7&lt;=$F67+$G67-1),1,""))</f>
        <v/>
      </c>
      <c r="AV57" s="79" t="str">
        <f aca="false">IF(AND($C67="Goal",AV$7&gt;=$F67,AV$7&lt;=$F67+$G67-1),2,IF(AND($C67="Milestone",AV$7&gt;=$F67,AV$7&lt;=$F67+$G67-1),1,""))</f>
        <v/>
      </c>
      <c r="AW57" s="79" t="str">
        <f aca="false">IF(AND($C67="Goal",AW$7&gt;=$F67,AW$7&lt;=$F67+$G67-1),2,IF(AND($C67="Milestone",AW$7&gt;=$F67,AW$7&lt;=$F67+$G67-1),1,""))</f>
        <v/>
      </c>
      <c r="AX57" s="79" t="str">
        <f aca="false">IF(AND($C67="Goal",AX$7&gt;=$F67,AX$7&lt;=$F67+$G67-1),2,IF(AND($C67="Milestone",AX$7&gt;=$F67,AX$7&lt;=$F67+$G67-1),1,""))</f>
        <v/>
      </c>
      <c r="AY57" s="79" t="str">
        <f aca="false">IF(AND($C67="Goal",AY$7&gt;=$F67,AY$7&lt;=$F67+$G67-1),2,IF(AND($C67="Milestone",AY$7&gt;=$F67,AY$7&lt;=$F67+$G67-1),1,""))</f>
        <v/>
      </c>
      <c r="AZ57" s="79" t="str">
        <f aca="false">IF(AND($C67="Goal",AZ$7&gt;=$F67,AZ$7&lt;=$F67+$G67-1),2,IF(AND($C67="Milestone",AZ$7&gt;=$F67,AZ$7&lt;=$F67+$G67-1),1,""))</f>
        <v/>
      </c>
      <c r="BA57" s="79" t="str">
        <f aca="false">IF(AND($C67="Goal",BA$7&gt;=$F67,BA$7&lt;=$F67+$G67-1),2,IF(AND($C67="Milestone",BA$7&gt;=$F67,BA$7&lt;=$F67+$G67-1),1,""))</f>
        <v/>
      </c>
      <c r="BB57" s="79" t="str">
        <f aca="false">IF(AND($C67="Goal",BB$7&gt;=$F67,BB$7&lt;=$F67+$G67-1),2,IF(AND($C67="Milestone",BB$7&gt;=$F67,BB$7&lt;=$F67+$G67-1),1,""))</f>
        <v/>
      </c>
      <c r="BC57" s="79" t="str">
        <f aca="false">IF(AND($C67="Goal",BC$7&gt;=$F67,BC$7&lt;=$F67+$G67-1),2,IF(AND($C67="Milestone",BC$7&gt;=$F67,BC$7&lt;=$F67+$G67-1),1,""))</f>
        <v/>
      </c>
      <c r="BD57" s="79" t="str">
        <f aca="false">IF(AND($C67="Goal",BD$7&gt;=$F67,BD$7&lt;=$F67+$G67-1),2,IF(AND($C67="Milestone",BD$7&gt;=$F67,BD$7&lt;=$F67+$G67-1),1,""))</f>
        <v/>
      </c>
      <c r="BE57" s="79" t="str">
        <f aca="false">IF(AND($C67="Goal",BE$7&gt;=$F67,BE$7&lt;=$F67+$G67-1),2,IF(AND($C67="Milestone",BE$7&gt;=$F67,BE$7&lt;=$F67+$G67-1),1,""))</f>
        <v/>
      </c>
      <c r="BF57" s="79" t="str">
        <f aca="false">IF(AND($C67="Goal",BF$7&gt;=$F67,BF$7&lt;=$F67+$G67-1),2,IF(AND($C67="Milestone",BF$7&gt;=$F67,BF$7&lt;=$F67+$G67-1),1,""))</f>
        <v/>
      </c>
      <c r="BG57" s="79" t="str">
        <f aca="false">IF(AND($C67="Goal",BG$7&gt;=$F67,BG$7&lt;=$F67+$G67-1),2,IF(AND($C67="Milestone",BG$7&gt;=$F67,BG$7&lt;=$F67+$G67-1),1,""))</f>
        <v/>
      </c>
      <c r="BH57" s="79" t="str">
        <f aca="false">IF(AND($C67="Goal",BH$7&gt;=$F67,BH$7&lt;=$F67+$G67-1),2,IF(AND($C67="Milestone",BH$7&gt;=$F67,BH$7&lt;=$F67+$G67-1),1,""))</f>
        <v/>
      </c>
      <c r="BI57" s="79" t="str">
        <f aca="false">IF(AND($C67="Goal",BI$7&gt;=$F67,BI$7&lt;=$F67+$G67-1),2,IF(AND($C67="Milestone",BI$7&gt;=$F67,BI$7&lt;=$F67+$G67-1),1,""))</f>
        <v/>
      </c>
      <c r="BJ57" s="79" t="str">
        <f aca="false">IF(AND($C67="Goal",BJ$7&gt;=$F67,BJ$7&lt;=$F67+$G67-1),2,IF(AND($C67="Milestone",BJ$7&gt;=$F67,BJ$7&lt;=$F67+$G67-1),1,""))</f>
        <v/>
      </c>
      <c r="BK57" s="79" t="str">
        <f aca="false">IF(AND($C67="Goal",BK$7&gt;=$F67,BK$7&lt;=$F67+$G67-1),2,IF(AND($C67="Milestone",BK$7&gt;=$F67,BK$7&lt;=$F67+$G67-1),1,""))</f>
        <v/>
      </c>
      <c r="BL57" s="79" t="str">
        <f aca="false">IF(AND($C67="Goal",BL$7&gt;=$F67,BL$7&lt;=$F67+$G67-1),2,IF(AND($C67="Milestone",BL$7&gt;=$F67,BL$7&lt;=$F67+$G67-1),1,""))</f>
        <v/>
      </c>
    </row>
    <row r="58" s="25" customFormat="true" ht="39.75" hidden="false" customHeight="true" outlineLevel="0" collapsed="false">
      <c r="A58" s="13"/>
      <c r="B58" s="89" t="s">
        <v>72</v>
      </c>
      <c r="C58" s="67" t="s">
        <v>20</v>
      </c>
      <c r="D58" s="67" t="s">
        <v>73</v>
      </c>
      <c r="E58" s="68" t="n">
        <v>1</v>
      </c>
      <c r="F58" s="90" t="n">
        <v>45961</v>
      </c>
      <c r="G58" s="91" t="n">
        <v>4</v>
      </c>
      <c r="H58" s="67"/>
      <c r="I58" s="79" t="str">
        <f aca="false">IF(AND($C68="Goal",I$7&gt;=$F68,I$7&lt;=$F68+$G68-1),2,IF(AND($C68="Milestone",I$7&gt;=$F68,I$7&lt;=$F68+$G68-1),1,""))</f>
        <v/>
      </c>
      <c r="J58" s="79" t="str">
        <f aca="false">IF(AND($C68="Goal",J$7&gt;=$F68,J$7&lt;=$F68+$G68-1),2,IF(AND($C68="Milestone",J$7&gt;=$F68,J$7&lt;=$F68+$G68-1),1,""))</f>
        <v/>
      </c>
      <c r="K58" s="79" t="str">
        <f aca="false">IF(AND($C68="Goal",K$7&gt;=$F68,K$7&lt;=$F68+$G68-1),2,IF(AND($C68="Milestone",K$7&gt;=$F68,K$7&lt;=$F68+$G68-1),1,""))</f>
        <v/>
      </c>
      <c r="L58" s="79" t="str">
        <f aca="false">IF(AND($C68="Goal",L$7&gt;=$F68,L$7&lt;=$F68+$G68-1),2,IF(AND($C68="Milestone",L$7&gt;=$F68,L$7&lt;=$F68+$G68-1),1,""))</f>
        <v/>
      </c>
      <c r="M58" s="79" t="str">
        <f aca="false">IF(AND($C68="Goal",M$7&gt;=$F68,M$7&lt;=$F68+$G68-1),2,IF(AND($C68="Milestone",M$7&gt;=$F68,M$7&lt;=$F68+$G68-1),1,""))</f>
        <v/>
      </c>
      <c r="N58" s="79" t="str">
        <f aca="false">IF(AND($C68="Goal",N$7&gt;=$F68,N$7&lt;=$F68+$G68-1),2,IF(AND($C68="Milestone",N$7&gt;=$F68,N$7&lt;=$F68+$G68-1),1,""))</f>
        <v/>
      </c>
      <c r="O58" s="79" t="str">
        <f aca="false">IF(AND($C68="Goal",O$7&gt;=$F68,O$7&lt;=$F68+$G68-1),2,IF(AND($C68="Milestone",O$7&gt;=$F68,O$7&lt;=$F68+$G68-1),1,""))</f>
        <v/>
      </c>
      <c r="P58" s="79" t="str">
        <f aca="false">IF(AND($C68="Goal",P$7&gt;=$F68,P$7&lt;=$F68+$G68-1),2,IF(AND($C68="Milestone",P$7&gt;=$F68,P$7&lt;=$F68+$G68-1),1,""))</f>
        <v/>
      </c>
      <c r="Q58" s="79" t="str">
        <f aca="false">IF(AND($C68="Goal",Q$7&gt;=$F68,Q$7&lt;=$F68+$G68-1),2,IF(AND($C68="Milestone",Q$7&gt;=$F68,Q$7&lt;=$F68+$G68-1),1,""))</f>
        <v/>
      </c>
      <c r="R58" s="79" t="str">
        <f aca="false">IF(AND($C68="Goal",R$7&gt;=$F68,R$7&lt;=$F68+$G68-1),2,IF(AND($C68="Milestone",R$7&gt;=$F68,R$7&lt;=$F68+$G68-1),1,""))</f>
        <v/>
      </c>
      <c r="S58" s="79" t="str">
        <f aca="false">IF(AND($C68="Goal",S$7&gt;=$F68,S$7&lt;=$F68+$G68-1),2,IF(AND($C68="Milestone",S$7&gt;=$F68,S$7&lt;=$F68+$G68-1),1,""))</f>
        <v/>
      </c>
      <c r="T58" s="79" t="str">
        <f aca="false">IF(AND($C68="Goal",T$7&gt;=$F68,T$7&lt;=$F68+$G68-1),2,IF(AND($C68="Milestone",T$7&gt;=$F68,T$7&lt;=$F68+$G68-1),1,""))</f>
        <v/>
      </c>
      <c r="U58" s="79" t="str">
        <f aca="false">IF(AND($C68="Goal",U$7&gt;=$F68,U$7&lt;=$F68+$G68-1),2,IF(AND($C68="Milestone",U$7&gt;=$F68,U$7&lt;=$F68+$G68-1),1,""))</f>
        <v/>
      </c>
      <c r="V58" s="79" t="str">
        <f aca="false">IF(AND($C68="Goal",V$7&gt;=$F68,V$7&lt;=$F68+$G68-1),2,IF(AND($C68="Milestone",V$7&gt;=$F68,V$7&lt;=$F68+$G68-1),1,""))</f>
        <v/>
      </c>
      <c r="W58" s="79" t="str">
        <f aca="false">IF(AND($C68="Goal",W$7&gt;=$F68,W$7&lt;=$F68+$G68-1),2,IF(AND($C68="Milestone",W$7&gt;=$F68,W$7&lt;=$F68+$G68-1),1,""))</f>
        <v/>
      </c>
      <c r="X58" s="79" t="str">
        <f aca="false">IF(AND($C68="Goal",X$7&gt;=$F68,X$7&lt;=$F68+$G68-1),2,IF(AND($C68="Milestone",X$7&gt;=$F68,X$7&lt;=$F68+$G68-1),1,""))</f>
        <v/>
      </c>
      <c r="Y58" s="79" t="str">
        <f aca="false">IF(AND($C68="Goal",Y$7&gt;=$F68,Y$7&lt;=$F68+$G68-1),2,IF(AND($C68="Milestone",Y$7&gt;=$F68,Y$7&lt;=$F68+$G68-1),1,""))</f>
        <v/>
      </c>
      <c r="Z58" s="79" t="str">
        <f aca="false">IF(AND($C68="Goal",Z$7&gt;=$F68,Z$7&lt;=$F68+$G68-1),2,IF(AND($C68="Milestone",Z$7&gt;=$F68,Z$7&lt;=$F68+$G68-1),1,""))</f>
        <v/>
      </c>
      <c r="AA58" s="79" t="str">
        <f aca="false">IF(AND($C68="Goal",AA$7&gt;=$F68,AA$7&lt;=$F68+$G68-1),2,IF(AND($C68="Milestone",AA$7&gt;=$F68,AA$7&lt;=$F68+$G68-1),1,""))</f>
        <v/>
      </c>
      <c r="AB58" s="79" t="str">
        <f aca="false">IF(AND($C68="Goal",AB$7&gt;=$F68,AB$7&lt;=$F68+$G68-1),2,IF(AND($C68="Milestone",AB$7&gt;=$F68,AB$7&lt;=$F68+$G68-1),1,""))</f>
        <v/>
      </c>
      <c r="AC58" s="79" t="str">
        <f aca="false">IF(AND($C68="Goal",AC$7&gt;=$F68,AC$7&lt;=$F68+$G68-1),2,IF(AND($C68="Milestone",AC$7&gt;=$F68,AC$7&lt;=$F68+$G68-1),1,""))</f>
        <v/>
      </c>
      <c r="AD58" s="79" t="str">
        <f aca="false">IF(AND($C68="Goal",AD$7&gt;=$F68,AD$7&lt;=$F68+$G68-1),2,IF(AND($C68="Milestone",AD$7&gt;=$F68,AD$7&lt;=$F68+$G68-1),1,""))</f>
        <v/>
      </c>
      <c r="AE58" s="79" t="str">
        <f aca="false">IF(AND($C68="Goal",AE$7&gt;=$F68,AE$7&lt;=$F68+$G68-1),2,IF(AND($C68="Milestone",AE$7&gt;=$F68,AE$7&lt;=$F68+$G68-1),1,""))</f>
        <v/>
      </c>
      <c r="AF58" s="79" t="str">
        <f aca="false">IF(AND($C68="Goal",AF$7&gt;=$F68,AF$7&lt;=$F68+$G68-1),2,IF(AND($C68="Milestone",AF$7&gt;=$F68,AF$7&lt;=$F68+$G68-1),1,""))</f>
        <v/>
      </c>
      <c r="AG58" s="79" t="str">
        <f aca="false">IF(AND($C68="Goal",AG$7&gt;=$F68,AG$7&lt;=$F68+$G68-1),2,IF(AND($C68="Milestone",AG$7&gt;=$F68,AG$7&lt;=$F68+$G68-1),1,""))</f>
        <v/>
      </c>
      <c r="AH58" s="79" t="str">
        <f aca="false">IF(AND($C68="Goal",AH$7&gt;=$F68,AH$7&lt;=$F68+$G68-1),2,IF(AND($C68="Milestone",AH$7&gt;=$F68,AH$7&lt;=$F68+$G68-1),1,""))</f>
        <v/>
      </c>
      <c r="AI58" s="79" t="str">
        <f aca="false">IF(AND($C68="Goal",AI$7&gt;=$F68,AI$7&lt;=$F68+$G68-1),2,IF(AND($C68="Milestone",AI$7&gt;=$F68,AI$7&lt;=$F68+$G68-1),1,""))</f>
        <v/>
      </c>
      <c r="AJ58" s="79" t="str">
        <f aca="false">IF(AND($C68="Goal",AJ$7&gt;=$F68,AJ$7&lt;=$F68+$G68-1),2,IF(AND($C68="Milestone",AJ$7&gt;=$F68,AJ$7&lt;=$F68+$G68-1),1,""))</f>
        <v/>
      </c>
      <c r="AK58" s="79" t="str">
        <f aca="false">IF(AND($C68="Goal",AK$7&gt;=$F68,AK$7&lt;=$F68+$G68-1),2,IF(AND($C68="Milestone",AK$7&gt;=$F68,AK$7&lt;=$F68+$G68-1),1,""))</f>
        <v/>
      </c>
      <c r="AL58" s="79" t="str">
        <f aca="false">IF(AND($C68="Goal",AL$7&gt;=$F68,AL$7&lt;=$F68+$G68-1),2,IF(AND($C68="Milestone",AL$7&gt;=$F68,AL$7&lt;=$F68+$G68-1),1,""))</f>
        <v/>
      </c>
      <c r="AM58" s="79" t="str">
        <f aca="false">IF(AND($C68="Goal",AM$7&gt;=$F68,AM$7&lt;=$F68+$G68-1),2,IF(AND($C68="Milestone",AM$7&gt;=$F68,AM$7&lt;=$F68+$G68-1),1,""))</f>
        <v/>
      </c>
      <c r="AN58" s="79" t="str">
        <f aca="false">IF(AND($C68="Goal",AN$7&gt;=$F68,AN$7&lt;=$F68+$G68-1),2,IF(AND($C68="Milestone",AN$7&gt;=$F68,AN$7&lt;=$F68+$G68-1),1,""))</f>
        <v/>
      </c>
      <c r="AO58" s="79" t="str">
        <f aca="false">IF(AND($C68="Goal",AO$7&gt;=$F68,AO$7&lt;=$F68+$G68-1),2,IF(AND($C68="Milestone",AO$7&gt;=$F68,AO$7&lt;=$F68+$G68-1),1,""))</f>
        <v/>
      </c>
      <c r="AP58" s="79" t="str">
        <f aca="false">IF(AND($C68="Goal",AP$7&gt;=$F68,AP$7&lt;=$F68+$G68-1),2,IF(AND($C68="Milestone",AP$7&gt;=$F68,AP$7&lt;=$F68+$G68-1),1,""))</f>
        <v/>
      </c>
      <c r="AQ58" s="79" t="str">
        <f aca="false">IF(AND($C68="Goal",AQ$7&gt;=$F68,AQ$7&lt;=$F68+$G68-1),2,IF(AND($C68="Milestone",AQ$7&gt;=$F68,AQ$7&lt;=$F68+$G68-1),1,""))</f>
        <v/>
      </c>
      <c r="AR58" s="79" t="str">
        <f aca="false">IF(AND($C68="Goal",AR$7&gt;=$F68,AR$7&lt;=$F68+$G68-1),2,IF(AND($C68="Milestone",AR$7&gt;=$F68,AR$7&lt;=$F68+$G68-1),1,""))</f>
        <v/>
      </c>
      <c r="AS58" s="79" t="str">
        <f aca="false">IF(AND($C68="Goal",AS$7&gt;=$F68,AS$7&lt;=$F68+$G68-1),2,IF(AND($C68="Milestone",AS$7&gt;=$F68,AS$7&lt;=$F68+$G68-1),1,""))</f>
        <v/>
      </c>
      <c r="AT58" s="79" t="str">
        <f aca="false">IF(AND($C68="Goal",AT$7&gt;=$F68,AT$7&lt;=$F68+$G68-1),2,IF(AND($C68="Milestone",AT$7&gt;=$F68,AT$7&lt;=$F68+$G68-1),1,""))</f>
        <v/>
      </c>
      <c r="AU58" s="79" t="str">
        <f aca="false">IF(AND($C68="Goal",AU$7&gt;=$F68,AU$7&lt;=$F68+$G68-1),2,IF(AND($C68="Milestone",AU$7&gt;=$F68,AU$7&lt;=$F68+$G68-1),1,""))</f>
        <v/>
      </c>
      <c r="AV58" s="79" t="str">
        <f aca="false">IF(AND($C68="Goal",AV$7&gt;=$F68,AV$7&lt;=$F68+$G68-1),2,IF(AND($C68="Milestone",AV$7&gt;=$F68,AV$7&lt;=$F68+$G68-1),1,""))</f>
        <v/>
      </c>
      <c r="AW58" s="79" t="str">
        <f aca="false">IF(AND($C68="Goal",AW$7&gt;=$F68,AW$7&lt;=$F68+$G68-1),2,IF(AND($C68="Milestone",AW$7&gt;=$F68,AW$7&lt;=$F68+$G68-1),1,""))</f>
        <v/>
      </c>
      <c r="AX58" s="79" t="str">
        <f aca="false">IF(AND($C68="Goal",AX$7&gt;=$F68,AX$7&lt;=$F68+$G68-1),2,IF(AND($C68="Milestone",AX$7&gt;=$F68,AX$7&lt;=$F68+$G68-1),1,""))</f>
        <v/>
      </c>
      <c r="AY58" s="79" t="str">
        <f aca="false">IF(AND($C68="Goal",AY$7&gt;=$F68,AY$7&lt;=$F68+$G68-1),2,IF(AND($C68="Milestone",AY$7&gt;=$F68,AY$7&lt;=$F68+$G68-1),1,""))</f>
        <v/>
      </c>
      <c r="AZ58" s="79" t="str">
        <f aca="false">IF(AND($C68="Goal",AZ$7&gt;=$F68,AZ$7&lt;=$F68+$G68-1),2,IF(AND($C68="Milestone",AZ$7&gt;=$F68,AZ$7&lt;=$F68+$G68-1),1,""))</f>
        <v/>
      </c>
      <c r="BA58" s="79" t="str">
        <f aca="false">IF(AND($C68="Goal",BA$7&gt;=$F68,BA$7&lt;=$F68+$G68-1),2,IF(AND($C68="Milestone",BA$7&gt;=$F68,BA$7&lt;=$F68+$G68-1),1,""))</f>
        <v/>
      </c>
      <c r="BB58" s="79" t="str">
        <f aca="false">IF(AND($C68="Goal",BB$7&gt;=$F68,BB$7&lt;=$F68+$G68-1),2,IF(AND($C68="Milestone",BB$7&gt;=$F68,BB$7&lt;=$F68+$G68-1),1,""))</f>
        <v/>
      </c>
      <c r="BC58" s="79" t="str">
        <f aca="false">IF(AND($C68="Goal",BC$7&gt;=$F68,BC$7&lt;=$F68+$G68-1),2,IF(AND($C68="Milestone",BC$7&gt;=$F68,BC$7&lt;=$F68+$G68-1),1,""))</f>
        <v/>
      </c>
      <c r="BD58" s="79" t="str">
        <f aca="false">IF(AND($C68="Goal",BD$7&gt;=$F68,BD$7&lt;=$F68+$G68-1),2,IF(AND($C68="Milestone",BD$7&gt;=$F68,BD$7&lt;=$F68+$G68-1),1,""))</f>
        <v/>
      </c>
      <c r="BE58" s="79" t="str">
        <f aca="false">IF(AND($C68="Goal",BE$7&gt;=$F68,BE$7&lt;=$F68+$G68-1),2,IF(AND($C68="Milestone",BE$7&gt;=$F68,BE$7&lt;=$F68+$G68-1),1,""))</f>
        <v/>
      </c>
      <c r="BF58" s="79" t="str">
        <f aca="false">IF(AND($C68="Goal",BF$7&gt;=$F68,BF$7&lt;=$F68+$G68-1),2,IF(AND($C68="Milestone",BF$7&gt;=$F68,BF$7&lt;=$F68+$G68-1),1,""))</f>
        <v/>
      </c>
      <c r="BG58" s="79" t="str">
        <f aca="false">IF(AND($C68="Goal",BG$7&gt;=$F68,BG$7&lt;=$F68+$G68-1),2,IF(AND($C68="Milestone",BG$7&gt;=$F68,BG$7&lt;=$F68+$G68-1),1,""))</f>
        <v/>
      </c>
      <c r="BH58" s="79" t="str">
        <f aca="false">IF(AND($C68="Goal",BH$7&gt;=$F68,BH$7&lt;=$F68+$G68-1),2,IF(AND($C68="Milestone",BH$7&gt;=$F68,BH$7&lt;=$F68+$G68-1),1,""))</f>
        <v/>
      </c>
      <c r="BI58" s="79" t="str">
        <f aca="false">IF(AND($C68="Goal",BI$7&gt;=$F68,BI$7&lt;=$F68+$G68-1),2,IF(AND($C68="Milestone",BI$7&gt;=$F68,BI$7&lt;=$F68+$G68-1),1,""))</f>
        <v/>
      </c>
      <c r="BJ58" s="79" t="str">
        <f aca="false">IF(AND($C68="Goal",BJ$7&gt;=$F68,BJ$7&lt;=$F68+$G68-1),2,IF(AND($C68="Milestone",BJ$7&gt;=$F68,BJ$7&lt;=$F68+$G68-1),1,""))</f>
        <v/>
      </c>
      <c r="BK58" s="79" t="str">
        <f aca="false">IF(AND($C68="Goal",BK$7&gt;=$F68,BK$7&lt;=$F68+$G68-1),2,IF(AND($C68="Milestone",BK$7&gt;=$F68,BK$7&lt;=$F68+$G68-1),1,""))</f>
        <v/>
      </c>
      <c r="BL58" s="79" t="str">
        <f aca="false">IF(AND($C68="Goal",BL$7&gt;=$F68,BL$7&lt;=$F68+$G68-1),2,IF(AND($C68="Milestone",BL$7&gt;=$F68,BL$7&lt;=$F68+$G68-1),1,""))</f>
        <v/>
      </c>
    </row>
    <row r="59" s="25" customFormat="true" ht="39.75" hidden="false" customHeight="true" outlineLevel="0" collapsed="false">
      <c r="A59" s="13"/>
      <c r="B59" s="92" t="s">
        <v>74</v>
      </c>
      <c r="C59" s="67" t="s">
        <v>35</v>
      </c>
      <c r="D59" s="67" t="s">
        <v>54</v>
      </c>
      <c r="E59" s="68" t="n">
        <v>1</v>
      </c>
      <c r="F59" s="69" t="n">
        <v>45961</v>
      </c>
      <c r="G59" s="70" t="n">
        <v>5</v>
      </c>
      <c r="H59" s="67"/>
      <c r="I59" s="79" t="str">
        <f aca="false">IF(AND($C69="Goal",I$7&gt;=$F69,I$7&lt;=$F69+$G69-1),2,IF(AND($C69="Milestone",I$7&gt;=$F69,I$7&lt;=$F69+$G69-1),1,""))</f>
        <v/>
      </c>
      <c r="J59" s="79" t="str">
        <f aca="false">IF(AND($C69="Goal",J$7&gt;=$F69,J$7&lt;=$F69+$G69-1),2,IF(AND($C69="Milestone",J$7&gt;=$F69,J$7&lt;=$F69+$G69-1),1,""))</f>
        <v/>
      </c>
      <c r="K59" s="79" t="str">
        <f aca="false">IF(AND($C69="Goal",K$7&gt;=$F69,K$7&lt;=$F69+$G69-1),2,IF(AND($C69="Milestone",K$7&gt;=$F69,K$7&lt;=$F69+$G69-1),1,""))</f>
        <v/>
      </c>
      <c r="L59" s="79" t="str">
        <f aca="false">IF(AND($C69="Goal",L$7&gt;=$F69,L$7&lt;=$F69+$G69-1),2,IF(AND($C69="Milestone",L$7&gt;=$F69,L$7&lt;=$F69+$G69-1),1,""))</f>
        <v/>
      </c>
      <c r="M59" s="79" t="str">
        <f aca="false">IF(AND($C69="Goal",M$7&gt;=$F69,M$7&lt;=$F69+$G69-1),2,IF(AND($C69="Milestone",M$7&gt;=$F69,M$7&lt;=$F69+$G69-1),1,""))</f>
        <v/>
      </c>
      <c r="N59" s="79" t="str">
        <f aca="false">IF(AND($C69="Goal",N$7&gt;=$F69,N$7&lt;=$F69+$G69-1),2,IF(AND($C69="Milestone",N$7&gt;=$F69,N$7&lt;=$F69+$G69-1),1,""))</f>
        <v/>
      </c>
      <c r="O59" s="79" t="str">
        <f aca="false">IF(AND($C69="Goal",O$7&gt;=$F69,O$7&lt;=$F69+$G69-1),2,IF(AND($C69="Milestone",O$7&gt;=$F69,O$7&lt;=$F69+$G69-1),1,""))</f>
        <v/>
      </c>
      <c r="P59" s="79" t="str">
        <f aca="false">IF(AND($C69="Goal",P$7&gt;=$F69,P$7&lt;=$F69+$G69-1),2,IF(AND($C69="Milestone",P$7&gt;=$F69,P$7&lt;=$F69+$G69-1),1,""))</f>
        <v/>
      </c>
      <c r="Q59" s="79" t="str">
        <f aca="false">IF(AND($C69="Goal",Q$7&gt;=$F69,Q$7&lt;=$F69+$G69-1),2,IF(AND($C69="Milestone",Q$7&gt;=$F69,Q$7&lt;=$F69+$G69-1),1,""))</f>
        <v/>
      </c>
      <c r="R59" s="79" t="str">
        <f aca="false">IF(AND($C69="Goal",R$7&gt;=$F69,R$7&lt;=$F69+$G69-1),2,IF(AND($C69="Milestone",R$7&gt;=$F69,R$7&lt;=$F69+$G69-1),1,""))</f>
        <v/>
      </c>
      <c r="S59" s="79" t="str">
        <f aca="false">IF(AND($C69="Goal",S$7&gt;=$F69,S$7&lt;=$F69+$G69-1),2,IF(AND($C69="Milestone",S$7&gt;=$F69,S$7&lt;=$F69+$G69-1),1,""))</f>
        <v/>
      </c>
      <c r="T59" s="79" t="str">
        <f aca="false">IF(AND($C69="Goal",T$7&gt;=$F69,T$7&lt;=$F69+$G69-1),2,IF(AND($C69="Milestone",T$7&gt;=$F69,T$7&lt;=$F69+$G69-1),1,""))</f>
        <v/>
      </c>
      <c r="U59" s="79" t="str">
        <f aca="false">IF(AND($C69="Goal",U$7&gt;=$F69,U$7&lt;=$F69+$G69-1),2,IF(AND($C69="Milestone",U$7&gt;=$F69,U$7&lt;=$F69+$G69-1),1,""))</f>
        <v/>
      </c>
      <c r="V59" s="79" t="str">
        <f aca="false">IF(AND($C69="Goal",V$7&gt;=$F69,V$7&lt;=$F69+$G69-1),2,IF(AND($C69="Milestone",V$7&gt;=$F69,V$7&lt;=$F69+$G69-1),1,""))</f>
        <v/>
      </c>
      <c r="W59" s="79" t="str">
        <f aca="false">IF(AND($C69="Goal",W$7&gt;=$F69,W$7&lt;=$F69+$G69-1),2,IF(AND($C69="Milestone",W$7&gt;=$F69,W$7&lt;=$F69+$G69-1),1,""))</f>
        <v/>
      </c>
      <c r="X59" s="79" t="str">
        <f aca="false">IF(AND($C69="Goal",X$7&gt;=$F69,X$7&lt;=$F69+$G69-1),2,IF(AND($C69="Milestone",X$7&gt;=$F69,X$7&lt;=$F69+$G69-1),1,""))</f>
        <v/>
      </c>
      <c r="Y59" s="79" t="str">
        <f aca="false">IF(AND($C69="Goal",Y$7&gt;=$F69,Y$7&lt;=$F69+$G69-1),2,IF(AND($C69="Milestone",Y$7&gt;=$F69,Y$7&lt;=$F69+$G69-1),1,""))</f>
        <v/>
      </c>
      <c r="Z59" s="79" t="str">
        <f aca="false">IF(AND($C69="Goal",Z$7&gt;=$F69,Z$7&lt;=$F69+$G69-1),2,IF(AND($C69="Milestone",Z$7&gt;=$F69,Z$7&lt;=$F69+$G69-1),1,""))</f>
        <v/>
      </c>
      <c r="AA59" s="79" t="str">
        <f aca="false">IF(AND($C69="Goal",AA$7&gt;=$F69,AA$7&lt;=$F69+$G69-1),2,IF(AND($C69="Milestone",AA$7&gt;=$F69,AA$7&lt;=$F69+$G69-1),1,""))</f>
        <v/>
      </c>
      <c r="AB59" s="79" t="str">
        <f aca="false">IF(AND($C69="Goal",AB$7&gt;=$F69,AB$7&lt;=$F69+$G69-1),2,IF(AND($C69="Milestone",AB$7&gt;=$F69,AB$7&lt;=$F69+$G69-1),1,""))</f>
        <v/>
      </c>
      <c r="AC59" s="79" t="str">
        <f aca="false">IF(AND($C69="Goal",AC$7&gt;=$F69,AC$7&lt;=$F69+$G69-1),2,IF(AND($C69="Milestone",AC$7&gt;=$F69,AC$7&lt;=$F69+$G69-1),1,""))</f>
        <v/>
      </c>
      <c r="AD59" s="79" t="str">
        <f aca="false">IF(AND($C69="Goal",AD$7&gt;=$F69,AD$7&lt;=$F69+$G69-1),2,IF(AND($C69="Milestone",AD$7&gt;=$F69,AD$7&lt;=$F69+$G69-1),1,""))</f>
        <v/>
      </c>
      <c r="AE59" s="79" t="str">
        <f aca="false">IF(AND($C69="Goal",AE$7&gt;=$F69,AE$7&lt;=$F69+$G69-1),2,IF(AND($C69="Milestone",AE$7&gt;=$F69,AE$7&lt;=$F69+$G69-1),1,""))</f>
        <v/>
      </c>
      <c r="AF59" s="79" t="str">
        <f aca="false">IF(AND($C69="Goal",AF$7&gt;=$F69,AF$7&lt;=$F69+$G69-1),2,IF(AND($C69="Milestone",AF$7&gt;=$F69,AF$7&lt;=$F69+$G69-1),1,""))</f>
        <v/>
      </c>
      <c r="AG59" s="79" t="str">
        <f aca="false">IF(AND($C69="Goal",AG$7&gt;=$F69,AG$7&lt;=$F69+$G69-1),2,IF(AND($C69="Milestone",AG$7&gt;=$F69,AG$7&lt;=$F69+$G69-1),1,""))</f>
        <v/>
      </c>
      <c r="AH59" s="79" t="str">
        <f aca="false">IF(AND($C69="Goal",AH$7&gt;=$F69,AH$7&lt;=$F69+$G69-1),2,IF(AND($C69="Milestone",AH$7&gt;=$F69,AH$7&lt;=$F69+$G69-1),1,""))</f>
        <v/>
      </c>
      <c r="AI59" s="79" t="str">
        <f aca="false">IF(AND($C69="Goal",AI$7&gt;=$F69,AI$7&lt;=$F69+$G69-1),2,IF(AND($C69="Milestone",AI$7&gt;=$F69,AI$7&lt;=$F69+$G69-1),1,""))</f>
        <v/>
      </c>
      <c r="AJ59" s="79" t="str">
        <f aca="false">IF(AND($C69="Goal",AJ$7&gt;=$F69,AJ$7&lt;=$F69+$G69-1),2,IF(AND($C69="Milestone",AJ$7&gt;=$F69,AJ$7&lt;=$F69+$G69-1),1,""))</f>
        <v/>
      </c>
      <c r="AK59" s="79" t="str">
        <f aca="false">IF(AND($C69="Goal",AK$7&gt;=$F69,AK$7&lt;=$F69+$G69-1),2,IF(AND($C69="Milestone",AK$7&gt;=$F69,AK$7&lt;=$F69+$G69-1),1,""))</f>
        <v/>
      </c>
      <c r="AL59" s="79" t="str">
        <f aca="false">IF(AND($C69="Goal",AL$7&gt;=$F69,AL$7&lt;=$F69+$G69-1),2,IF(AND($C69="Milestone",AL$7&gt;=$F69,AL$7&lt;=$F69+$G69-1),1,""))</f>
        <v/>
      </c>
      <c r="AM59" s="79" t="str">
        <f aca="false">IF(AND($C69="Goal",AM$7&gt;=$F69,AM$7&lt;=$F69+$G69-1),2,IF(AND($C69="Milestone",AM$7&gt;=$F69,AM$7&lt;=$F69+$G69-1),1,""))</f>
        <v/>
      </c>
      <c r="AN59" s="79" t="str">
        <f aca="false">IF(AND($C69="Goal",AN$7&gt;=$F69,AN$7&lt;=$F69+$G69-1),2,IF(AND($C69="Milestone",AN$7&gt;=$F69,AN$7&lt;=$F69+$G69-1),1,""))</f>
        <v/>
      </c>
      <c r="AO59" s="79" t="str">
        <f aca="false">IF(AND($C69="Goal",AO$7&gt;=$F69,AO$7&lt;=$F69+$G69-1),2,IF(AND($C69="Milestone",AO$7&gt;=$F69,AO$7&lt;=$F69+$G69-1),1,""))</f>
        <v/>
      </c>
      <c r="AP59" s="79" t="str">
        <f aca="false">IF(AND($C69="Goal",AP$7&gt;=$F69,AP$7&lt;=$F69+$G69-1),2,IF(AND($C69="Milestone",AP$7&gt;=$F69,AP$7&lt;=$F69+$G69-1),1,""))</f>
        <v/>
      </c>
      <c r="AQ59" s="79" t="str">
        <f aca="false">IF(AND($C69="Goal",AQ$7&gt;=$F69,AQ$7&lt;=$F69+$G69-1),2,IF(AND($C69="Milestone",AQ$7&gt;=$F69,AQ$7&lt;=$F69+$G69-1),1,""))</f>
        <v/>
      </c>
      <c r="AR59" s="79" t="str">
        <f aca="false">IF(AND($C69="Goal",AR$7&gt;=$F69,AR$7&lt;=$F69+$G69-1),2,IF(AND($C69="Milestone",AR$7&gt;=$F69,AR$7&lt;=$F69+$G69-1),1,""))</f>
        <v/>
      </c>
      <c r="AS59" s="79" t="str">
        <f aca="false">IF(AND($C69="Goal",AS$7&gt;=$F69,AS$7&lt;=$F69+$G69-1),2,IF(AND($C69="Milestone",AS$7&gt;=$F69,AS$7&lt;=$F69+$G69-1),1,""))</f>
        <v/>
      </c>
      <c r="AT59" s="79" t="str">
        <f aca="false">IF(AND($C69="Goal",AT$7&gt;=$F69,AT$7&lt;=$F69+$G69-1),2,IF(AND($C69="Milestone",AT$7&gt;=$F69,AT$7&lt;=$F69+$G69-1),1,""))</f>
        <v/>
      </c>
      <c r="AU59" s="79" t="str">
        <f aca="false">IF(AND($C69="Goal",AU$7&gt;=$F69,AU$7&lt;=$F69+$G69-1),2,IF(AND($C69="Milestone",AU$7&gt;=$F69,AU$7&lt;=$F69+$G69-1),1,""))</f>
        <v/>
      </c>
      <c r="AV59" s="79" t="str">
        <f aca="false">IF(AND($C69="Goal",AV$7&gt;=$F69,AV$7&lt;=$F69+$G69-1),2,IF(AND($C69="Milestone",AV$7&gt;=$F69,AV$7&lt;=$F69+$G69-1),1,""))</f>
        <v/>
      </c>
      <c r="AW59" s="79" t="str">
        <f aca="false">IF(AND($C69="Goal",AW$7&gt;=$F69,AW$7&lt;=$F69+$G69-1),2,IF(AND($C69="Milestone",AW$7&gt;=$F69,AW$7&lt;=$F69+$G69-1),1,""))</f>
        <v/>
      </c>
      <c r="AX59" s="79" t="str">
        <f aca="false">IF(AND($C69="Goal",AX$7&gt;=$F69,AX$7&lt;=$F69+$G69-1),2,IF(AND($C69="Milestone",AX$7&gt;=$F69,AX$7&lt;=$F69+$G69-1),1,""))</f>
        <v/>
      </c>
      <c r="AY59" s="79" t="str">
        <f aca="false">IF(AND($C69="Goal",AY$7&gt;=$F69,AY$7&lt;=$F69+$G69-1),2,IF(AND($C69="Milestone",AY$7&gt;=$F69,AY$7&lt;=$F69+$G69-1),1,""))</f>
        <v/>
      </c>
      <c r="AZ59" s="79" t="str">
        <f aca="false">IF(AND($C69="Goal",AZ$7&gt;=$F69,AZ$7&lt;=$F69+$G69-1),2,IF(AND($C69="Milestone",AZ$7&gt;=$F69,AZ$7&lt;=$F69+$G69-1),1,""))</f>
        <v/>
      </c>
      <c r="BA59" s="79" t="str">
        <f aca="false">IF(AND($C69="Goal",BA$7&gt;=$F69,BA$7&lt;=$F69+$G69-1),2,IF(AND($C69="Milestone",BA$7&gt;=$F69,BA$7&lt;=$F69+$G69-1),1,""))</f>
        <v/>
      </c>
      <c r="BB59" s="79" t="str">
        <f aca="false">IF(AND($C69="Goal",BB$7&gt;=$F69,BB$7&lt;=$F69+$G69-1),2,IF(AND($C69="Milestone",BB$7&gt;=$F69,BB$7&lt;=$F69+$G69-1),1,""))</f>
        <v/>
      </c>
      <c r="BC59" s="79" t="str">
        <f aca="false">IF(AND($C69="Goal",BC$7&gt;=$F69,BC$7&lt;=$F69+$G69-1),2,IF(AND($C69="Milestone",BC$7&gt;=$F69,BC$7&lt;=$F69+$G69-1),1,""))</f>
        <v/>
      </c>
      <c r="BD59" s="79" t="str">
        <f aca="false">IF(AND($C69="Goal",BD$7&gt;=$F69,BD$7&lt;=$F69+$G69-1),2,IF(AND($C69="Milestone",BD$7&gt;=$F69,BD$7&lt;=$F69+$G69-1),1,""))</f>
        <v/>
      </c>
      <c r="BE59" s="79" t="str">
        <f aca="false">IF(AND($C69="Goal",BE$7&gt;=$F69,BE$7&lt;=$F69+$G69-1),2,IF(AND($C69="Milestone",BE$7&gt;=$F69,BE$7&lt;=$F69+$G69-1),1,""))</f>
        <v/>
      </c>
      <c r="BF59" s="79" t="str">
        <f aca="false">IF(AND($C69="Goal",BF$7&gt;=$F69,BF$7&lt;=$F69+$G69-1),2,IF(AND($C69="Milestone",BF$7&gt;=$F69,BF$7&lt;=$F69+$G69-1),1,""))</f>
        <v/>
      </c>
      <c r="BG59" s="79" t="str">
        <f aca="false">IF(AND($C69="Goal",BG$7&gt;=$F69,BG$7&lt;=$F69+$G69-1),2,IF(AND($C69="Milestone",BG$7&gt;=$F69,BG$7&lt;=$F69+$G69-1),1,""))</f>
        <v/>
      </c>
      <c r="BH59" s="79" t="str">
        <f aca="false">IF(AND($C69="Goal",BH$7&gt;=$F69,BH$7&lt;=$F69+$G69-1),2,IF(AND($C69="Milestone",BH$7&gt;=$F69,BH$7&lt;=$F69+$G69-1),1,""))</f>
        <v/>
      </c>
      <c r="BI59" s="79" t="str">
        <f aca="false">IF(AND($C69="Goal",BI$7&gt;=$F69,BI$7&lt;=$F69+$G69-1),2,IF(AND($C69="Milestone",BI$7&gt;=$F69,BI$7&lt;=$F69+$G69-1),1,""))</f>
        <v/>
      </c>
      <c r="BJ59" s="79" t="str">
        <f aca="false">IF(AND($C69="Goal",BJ$7&gt;=$F69,BJ$7&lt;=$F69+$G69-1),2,IF(AND($C69="Milestone",BJ$7&gt;=$F69,BJ$7&lt;=$F69+$G69-1),1,""))</f>
        <v/>
      </c>
      <c r="BK59" s="79" t="str">
        <f aca="false">IF(AND($C69="Goal",BK$7&gt;=$F69,BK$7&lt;=$F69+$G69-1),2,IF(AND($C69="Milestone",BK$7&gt;=$F69,BK$7&lt;=$F69+$G69-1),1,""))</f>
        <v/>
      </c>
      <c r="BL59" s="79" t="str">
        <f aca="false">IF(AND($C69="Goal",BL$7&gt;=$F69,BL$7&lt;=$F69+$G69-1),2,IF(AND($C69="Milestone",BL$7&gt;=$F69,BL$7&lt;=$F69+$G69-1),1,""))</f>
        <v/>
      </c>
    </row>
    <row r="60" s="25" customFormat="true" ht="39.75" hidden="false" customHeight="true" outlineLevel="0" collapsed="false">
      <c r="A60" s="13"/>
      <c r="B60" s="93"/>
      <c r="C60" s="67"/>
      <c r="D60" s="67"/>
      <c r="E60" s="68"/>
      <c r="F60" s="69"/>
      <c r="G60" s="70"/>
      <c r="H60" s="67"/>
      <c r="I60" s="79" t="str">
        <f aca="false">IF(AND($C70="Goal",I$7&gt;=$F70,I$7&lt;=$F70+$G70-1),2,IF(AND($C70="Milestone",I$7&gt;=$F70,I$7&lt;=$F70+$G70-1),1,""))</f>
        <v/>
      </c>
      <c r="J60" s="79" t="str">
        <f aca="false">IF(AND($C70="Goal",J$7&gt;=$F70,J$7&lt;=$F70+$G70-1),2,IF(AND($C70="Milestone",J$7&gt;=$F70,J$7&lt;=$F70+$G70-1),1,""))</f>
        <v/>
      </c>
      <c r="K60" s="79" t="str">
        <f aca="false">IF(AND($C70="Goal",K$7&gt;=$F70,K$7&lt;=$F70+$G70-1),2,IF(AND($C70="Milestone",K$7&gt;=$F70,K$7&lt;=$F70+$G70-1),1,""))</f>
        <v/>
      </c>
      <c r="L60" s="79" t="str">
        <f aca="false">IF(AND($C70="Goal",L$7&gt;=$F70,L$7&lt;=$F70+$G70-1),2,IF(AND($C70="Milestone",L$7&gt;=$F70,L$7&lt;=$F70+$G70-1),1,""))</f>
        <v/>
      </c>
      <c r="M60" s="79" t="str">
        <f aca="false">IF(AND($C70="Goal",M$7&gt;=$F70,M$7&lt;=$F70+$G70-1),2,IF(AND($C70="Milestone",M$7&gt;=$F70,M$7&lt;=$F70+$G70-1),1,""))</f>
        <v/>
      </c>
      <c r="N60" s="79" t="str">
        <f aca="false">IF(AND($C70="Goal",N$7&gt;=$F70,N$7&lt;=$F70+$G70-1),2,IF(AND($C70="Milestone",N$7&gt;=$F70,N$7&lt;=$F70+$G70-1),1,""))</f>
        <v/>
      </c>
      <c r="O60" s="79" t="str">
        <f aca="false">IF(AND($C70="Goal",O$7&gt;=$F70,O$7&lt;=$F70+$G70-1),2,IF(AND($C70="Milestone",O$7&gt;=$F70,O$7&lt;=$F70+$G70-1),1,""))</f>
        <v/>
      </c>
      <c r="P60" s="79" t="str">
        <f aca="false">IF(AND($C70="Goal",P$7&gt;=$F70,P$7&lt;=$F70+$G70-1),2,IF(AND($C70="Milestone",P$7&gt;=$F70,P$7&lt;=$F70+$G70-1),1,""))</f>
        <v/>
      </c>
      <c r="Q60" s="79" t="str">
        <f aca="false">IF(AND($C70="Goal",Q$7&gt;=$F70,Q$7&lt;=$F70+$G70-1),2,IF(AND($C70="Milestone",Q$7&gt;=$F70,Q$7&lt;=$F70+$G70-1),1,""))</f>
        <v/>
      </c>
      <c r="R60" s="79" t="str">
        <f aca="false">IF(AND($C70="Goal",R$7&gt;=$F70,R$7&lt;=$F70+$G70-1),2,IF(AND($C70="Milestone",R$7&gt;=$F70,R$7&lt;=$F70+$G70-1),1,""))</f>
        <v/>
      </c>
      <c r="S60" s="79" t="str">
        <f aca="false">IF(AND($C70="Goal",S$7&gt;=$F70,S$7&lt;=$F70+$G70-1),2,IF(AND($C70="Milestone",S$7&gt;=$F70,S$7&lt;=$F70+$G70-1),1,""))</f>
        <v/>
      </c>
      <c r="T60" s="79" t="str">
        <f aca="false">IF(AND($C70="Goal",T$7&gt;=$F70,T$7&lt;=$F70+$G70-1),2,IF(AND($C70="Milestone",T$7&gt;=$F70,T$7&lt;=$F70+$G70-1),1,""))</f>
        <v/>
      </c>
      <c r="U60" s="79" t="str">
        <f aca="false">IF(AND($C70="Goal",U$7&gt;=$F70,U$7&lt;=$F70+$G70-1),2,IF(AND($C70="Milestone",U$7&gt;=$F70,U$7&lt;=$F70+$G70-1),1,""))</f>
        <v/>
      </c>
      <c r="V60" s="79" t="str">
        <f aca="false">IF(AND($C70="Goal",V$7&gt;=$F70,V$7&lt;=$F70+$G70-1),2,IF(AND($C70="Milestone",V$7&gt;=$F70,V$7&lt;=$F70+$G70-1),1,""))</f>
        <v/>
      </c>
      <c r="W60" s="79" t="str">
        <f aca="false">IF(AND($C70="Goal",W$7&gt;=$F70,W$7&lt;=$F70+$G70-1),2,IF(AND($C70="Milestone",W$7&gt;=$F70,W$7&lt;=$F70+$G70-1),1,""))</f>
        <v/>
      </c>
      <c r="X60" s="79" t="str">
        <f aca="false">IF(AND($C70="Goal",X$7&gt;=$F70,X$7&lt;=$F70+$G70-1),2,IF(AND($C70="Milestone",X$7&gt;=$F70,X$7&lt;=$F70+$G70-1),1,""))</f>
        <v/>
      </c>
      <c r="Y60" s="79" t="str">
        <f aca="false">IF(AND($C70="Goal",Y$7&gt;=$F70,Y$7&lt;=$F70+$G70-1),2,IF(AND($C70="Milestone",Y$7&gt;=$F70,Y$7&lt;=$F70+$G70-1),1,""))</f>
        <v/>
      </c>
      <c r="Z60" s="79" t="str">
        <f aca="false">IF(AND($C70="Goal",Z$7&gt;=$F70,Z$7&lt;=$F70+$G70-1),2,IF(AND($C70="Milestone",Z$7&gt;=$F70,Z$7&lt;=$F70+$G70-1),1,""))</f>
        <v/>
      </c>
      <c r="AA60" s="79" t="str">
        <f aca="false">IF(AND($C70="Goal",AA$7&gt;=$F70,AA$7&lt;=$F70+$G70-1),2,IF(AND($C70="Milestone",AA$7&gt;=$F70,AA$7&lt;=$F70+$G70-1),1,""))</f>
        <v/>
      </c>
      <c r="AB60" s="79" t="str">
        <f aca="false">IF(AND($C70="Goal",AB$7&gt;=$F70,AB$7&lt;=$F70+$G70-1),2,IF(AND($C70="Milestone",AB$7&gt;=$F70,AB$7&lt;=$F70+$G70-1),1,""))</f>
        <v/>
      </c>
      <c r="AC60" s="79" t="str">
        <f aca="false">IF(AND($C70="Goal",AC$7&gt;=$F70,AC$7&lt;=$F70+$G70-1),2,IF(AND($C70="Milestone",AC$7&gt;=$F70,AC$7&lt;=$F70+$G70-1),1,""))</f>
        <v/>
      </c>
      <c r="AD60" s="79" t="str">
        <f aca="false">IF(AND($C70="Goal",AD$7&gt;=$F70,AD$7&lt;=$F70+$G70-1),2,IF(AND($C70="Milestone",AD$7&gt;=$F70,AD$7&lt;=$F70+$G70-1),1,""))</f>
        <v/>
      </c>
      <c r="AE60" s="79" t="str">
        <f aca="false">IF(AND($C70="Goal",AE$7&gt;=$F70,AE$7&lt;=$F70+$G70-1),2,IF(AND($C70="Milestone",AE$7&gt;=$F70,AE$7&lt;=$F70+$G70-1),1,""))</f>
        <v/>
      </c>
      <c r="AF60" s="79" t="str">
        <f aca="false">IF(AND($C70="Goal",AF$7&gt;=$F70,AF$7&lt;=$F70+$G70-1),2,IF(AND($C70="Milestone",AF$7&gt;=$F70,AF$7&lt;=$F70+$G70-1),1,""))</f>
        <v/>
      </c>
      <c r="AG60" s="79" t="str">
        <f aca="false">IF(AND($C70="Goal",AG$7&gt;=$F70,AG$7&lt;=$F70+$G70-1),2,IF(AND($C70="Milestone",AG$7&gt;=$F70,AG$7&lt;=$F70+$G70-1),1,""))</f>
        <v/>
      </c>
      <c r="AH60" s="79" t="str">
        <f aca="false">IF(AND($C70="Goal",AH$7&gt;=$F70,AH$7&lt;=$F70+$G70-1),2,IF(AND($C70="Milestone",AH$7&gt;=$F70,AH$7&lt;=$F70+$G70-1),1,""))</f>
        <v/>
      </c>
      <c r="AI60" s="79" t="str">
        <f aca="false">IF(AND($C70="Goal",AI$7&gt;=$F70,AI$7&lt;=$F70+$G70-1),2,IF(AND($C70="Milestone",AI$7&gt;=$F70,AI$7&lt;=$F70+$G70-1),1,""))</f>
        <v/>
      </c>
      <c r="AJ60" s="79" t="str">
        <f aca="false">IF(AND($C70="Goal",AJ$7&gt;=$F70,AJ$7&lt;=$F70+$G70-1),2,IF(AND($C70="Milestone",AJ$7&gt;=$F70,AJ$7&lt;=$F70+$G70-1),1,""))</f>
        <v/>
      </c>
      <c r="AK60" s="79" t="str">
        <f aca="false">IF(AND($C70="Goal",AK$7&gt;=$F70,AK$7&lt;=$F70+$G70-1),2,IF(AND($C70="Milestone",AK$7&gt;=$F70,AK$7&lt;=$F70+$G70-1),1,""))</f>
        <v/>
      </c>
      <c r="AL60" s="79" t="str">
        <f aca="false">IF(AND($C70="Goal",AL$7&gt;=$F70,AL$7&lt;=$F70+$G70-1),2,IF(AND($C70="Milestone",AL$7&gt;=$F70,AL$7&lt;=$F70+$G70-1),1,""))</f>
        <v/>
      </c>
      <c r="AM60" s="79" t="str">
        <f aca="false">IF(AND($C70="Goal",AM$7&gt;=$F70,AM$7&lt;=$F70+$G70-1),2,IF(AND($C70="Milestone",AM$7&gt;=$F70,AM$7&lt;=$F70+$G70-1),1,""))</f>
        <v/>
      </c>
      <c r="AN60" s="79" t="str">
        <f aca="false">IF(AND($C70="Goal",AN$7&gt;=$F70,AN$7&lt;=$F70+$G70-1),2,IF(AND($C70="Milestone",AN$7&gt;=$F70,AN$7&lt;=$F70+$G70-1),1,""))</f>
        <v/>
      </c>
      <c r="AO60" s="79" t="str">
        <f aca="false">IF(AND($C70="Goal",AO$7&gt;=$F70,AO$7&lt;=$F70+$G70-1),2,IF(AND($C70="Milestone",AO$7&gt;=$F70,AO$7&lt;=$F70+$G70-1),1,""))</f>
        <v/>
      </c>
      <c r="AP60" s="79" t="str">
        <f aca="false">IF(AND($C70="Goal",AP$7&gt;=$F70,AP$7&lt;=$F70+$G70-1),2,IF(AND($C70="Milestone",AP$7&gt;=$F70,AP$7&lt;=$F70+$G70-1),1,""))</f>
        <v/>
      </c>
      <c r="AQ60" s="79" t="str">
        <f aca="false">IF(AND($C70="Goal",AQ$7&gt;=$F70,AQ$7&lt;=$F70+$G70-1),2,IF(AND($C70="Milestone",AQ$7&gt;=$F70,AQ$7&lt;=$F70+$G70-1),1,""))</f>
        <v/>
      </c>
      <c r="AR60" s="79" t="str">
        <f aca="false">IF(AND($C70="Goal",AR$7&gt;=$F70,AR$7&lt;=$F70+$G70-1),2,IF(AND($C70="Milestone",AR$7&gt;=$F70,AR$7&lt;=$F70+$G70-1),1,""))</f>
        <v/>
      </c>
      <c r="AS60" s="79" t="str">
        <f aca="false">IF(AND($C70="Goal",AS$7&gt;=$F70,AS$7&lt;=$F70+$G70-1),2,IF(AND($C70="Milestone",AS$7&gt;=$F70,AS$7&lt;=$F70+$G70-1),1,""))</f>
        <v/>
      </c>
      <c r="AT60" s="79" t="str">
        <f aca="false">IF(AND($C70="Goal",AT$7&gt;=$F70,AT$7&lt;=$F70+$G70-1),2,IF(AND($C70="Milestone",AT$7&gt;=$F70,AT$7&lt;=$F70+$G70-1),1,""))</f>
        <v/>
      </c>
      <c r="AU60" s="79" t="str">
        <f aca="false">IF(AND($C70="Goal",AU$7&gt;=$F70,AU$7&lt;=$F70+$G70-1),2,IF(AND($C70="Milestone",AU$7&gt;=$F70,AU$7&lt;=$F70+$G70-1),1,""))</f>
        <v/>
      </c>
      <c r="AV60" s="79" t="str">
        <f aca="false">IF(AND($C70="Goal",AV$7&gt;=$F70,AV$7&lt;=$F70+$G70-1),2,IF(AND($C70="Milestone",AV$7&gt;=$F70,AV$7&lt;=$F70+$G70-1),1,""))</f>
        <v/>
      </c>
      <c r="AW60" s="79" t="str">
        <f aca="false">IF(AND($C70="Goal",AW$7&gt;=$F70,AW$7&lt;=$F70+$G70-1),2,IF(AND($C70="Milestone",AW$7&gt;=$F70,AW$7&lt;=$F70+$G70-1),1,""))</f>
        <v/>
      </c>
      <c r="AX60" s="79" t="str">
        <f aca="false">IF(AND($C70="Goal",AX$7&gt;=$F70,AX$7&lt;=$F70+$G70-1),2,IF(AND($C70="Milestone",AX$7&gt;=$F70,AX$7&lt;=$F70+$G70-1),1,""))</f>
        <v/>
      </c>
      <c r="AY60" s="79" t="str">
        <f aca="false">IF(AND($C70="Goal",AY$7&gt;=$F70,AY$7&lt;=$F70+$G70-1),2,IF(AND($C70="Milestone",AY$7&gt;=$F70,AY$7&lt;=$F70+$G70-1),1,""))</f>
        <v/>
      </c>
      <c r="AZ60" s="79" t="str">
        <f aca="false">IF(AND($C70="Goal",AZ$7&gt;=$F70,AZ$7&lt;=$F70+$G70-1),2,IF(AND($C70="Milestone",AZ$7&gt;=$F70,AZ$7&lt;=$F70+$G70-1),1,""))</f>
        <v/>
      </c>
      <c r="BA60" s="79" t="str">
        <f aca="false">IF(AND($C70="Goal",BA$7&gt;=$F70,BA$7&lt;=$F70+$G70-1),2,IF(AND($C70="Milestone",BA$7&gt;=$F70,BA$7&lt;=$F70+$G70-1),1,""))</f>
        <v/>
      </c>
      <c r="BB60" s="79" t="str">
        <f aca="false">IF(AND($C70="Goal",BB$7&gt;=$F70,BB$7&lt;=$F70+$G70-1),2,IF(AND($C70="Milestone",BB$7&gt;=$F70,BB$7&lt;=$F70+$G70-1),1,""))</f>
        <v/>
      </c>
      <c r="BC60" s="79" t="str">
        <f aca="false">IF(AND($C70="Goal",BC$7&gt;=$F70,BC$7&lt;=$F70+$G70-1),2,IF(AND($C70="Milestone",BC$7&gt;=$F70,BC$7&lt;=$F70+$G70-1),1,""))</f>
        <v/>
      </c>
      <c r="BD60" s="79" t="str">
        <f aca="false">IF(AND($C70="Goal",BD$7&gt;=$F70,BD$7&lt;=$F70+$G70-1),2,IF(AND($C70="Milestone",BD$7&gt;=$F70,BD$7&lt;=$F70+$G70-1),1,""))</f>
        <v/>
      </c>
      <c r="BE60" s="79" t="str">
        <f aca="false">IF(AND($C70="Goal",BE$7&gt;=$F70,BE$7&lt;=$F70+$G70-1),2,IF(AND($C70="Milestone",BE$7&gt;=$F70,BE$7&lt;=$F70+$G70-1),1,""))</f>
        <v/>
      </c>
      <c r="BF60" s="79" t="str">
        <f aca="false">IF(AND($C70="Goal",BF$7&gt;=$F70,BF$7&lt;=$F70+$G70-1),2,IF(AND($C70="Milestone",BF$7&gt;=$F70,BF$7&lt;=$F70+$G70-1),1,""))</f>
        <v/>
      </c>
      <c r="BG60" s="79" t="str">
        <f aca="false">IF(AND($C70="Goal",BG$7&gt;=$F70,BG$7&lt;=$F70+$G70-1),2,IF(AND($C70="Milestone",BG$7&gt;=$F70,BG$7&lt;=$F70+$G70-1),1,""))</f>
        <v/>
      </c>
      <c r="BH60" s="79" t="str">
        <f aca="false">IF(AND($C70="Goal",BH$7&gt;=$F70,BH$7&lt;=$F70+$G70-1),2,IF(AND($C70="Milestone",BH$7&gt;=$F70,BH$7&lt;=$F70+$G70-1),1,""))</f>
        <v/>
      </c>
      <c r="BI60" s="79" t="str">
        <f aca="false">IF(AND($C70="Goal",BI$7&gt;=$F70,BI$7&lt;=$F70+$G70-1),2,IF(AND($C70="Milestone",BI$7&gt;=$F70,BI$7&lt;=$F70+$G70-1),1,""))</f>
        <v/>
      </c>
      <c r="BJ60" s="79" t="str">
        <f aca="false">IF(AND($C70="Goal",BJ$7&gt;=$F70,BJ$7&lt;=$F70+$G70-1),2,IF(AND($C70="Milestone",BJ$7&gt;=$F70,BJ$7&lt;=$F70+$G70-1),1,""))</f>
        <v/>
      </c>
      <c r="BK60" s="79" t="str">
        <f aca="false">IF(AND($C70="Goal",BK$7&gt;=$F70,BK$7&lt;=$F70+$G70-1),2,IF(AND($C70="Milestone",BK$7&gt;=$F70,BK$7&lt;=$F70+$G70-1),1,""))</f>
        <v/>
      </c>
      <c r="BL60" s="79" t="str">
        <f aca="false">IF(AND($C70="Goal",BL$7&gt;=$F70,BL$7&lt;=$F70+$G70-1),2,IF(AND($C70="Milestone",BL$7&gt;=$F70,BL$7&lt;=$F70+$G70-1),1,""))</f>
        <v/>
      </c>
    </row>
    <row r="61" s="25" customFormat="true" ht="39.75" hidden="false" customHeight="true" outlineLevel="0" collapsed="false">
      <c r="A61" s="13"/>
      <c r="B61" s="94"/>
      <c r="C61" s="67"/>
      <c r="D61" s="67"/>
      <c r="E61" s="68"/>
      <c r="F61" s="69"/>
      <c r="G61" s="70"/>
      <c r="H61" s="67"/>
      <c r="I61" s="79" t="str">
        <f aca="false">IF(AND($C71="Goal",I$7&gt;=$F71,I$7&lt;=$F71+$G71-1),2,IF(AND($C71="Milestone",I$7&gt;=$F71,I$7&lt;=$F71+$G71-1),1,""))</f>
        <v/>
      </c>
      <c r="J61" s="79" t="str">
        <f aca="false">IF(AND($C71="Goal",J$7&gt;=$F71,J$7&lt;=$F71+$G71-1),2,IF(AND($C71="Milestone",J$7&gt;=$F71,J$7&lt;=$F71+$G71-1),1,""))</f>
        <v/>
      </c>
      <c r="K61" s="79" t="str">
        <f aca="false">IF(AND($C71="Goal",K$7&gt;=$F71,K$7&lt;=$F71+$G71-1),2,IF(AND($C71="Milestone",K$7&gt;=$F71,K$7&lt;=$F71+$G71-1),1,""))</f>
        <v/>
      </c>
      <c r="L61" s="79" t="str">
        <f aca="false">IF(AND($C71="Goal",L$7&gt;=$F71,L$7&lt;=$F71+$G71-1),2,IF(AND($C71="Milestone",L$7&gt;=$F71,L$7&lt;=$F71+$G71-1),1,""))</f>
        <v/>
      </c>
      <c r="M61" s="79" t="str">
        <f aca="false">IF(AND($C71="Goal",M$7&gt;=$F71,M$7&lt;=$F71+$G71-1),2,IF(AND($C71="Milestone",M$7&gt;=$F71,M$7&lt;=$F71+$G71-1),1,""))</f>
        <v/>
      </c>
      <c r="N61" s="79" t="str">
        <f aca="false">IF(AND($C71="Goal",N$7&gt;=$F71,N$7&lt;=$F71+$G71-1),2,IF(AND($C71="Milestone",N$7&gt;=$F71,N$7&lt;=$F71+$G71-1),1,""))</f>
        <v/>
      </c>
      <c r="O61" s="79" t="str">
        <f aca="false">IF(AND($C71="Goal",O$7&gt;=$F71,O$7&lt;=$F71+$G71-1),2,IF(AND($C71="Milestone",O$7&gt;=$F71,O$7&lt;=$F71+$G71-1),1,""))</f>
        <v/>
      </c>
      <c r="P61" s="79" t="str">
        <f aca="false">IF(AND($C71="Goal",P$7&gt;=$F71,P$7&lt;=$F71+$G71-1),2,IF(AND($C71="Milestone",P$7&gt;=$F71,P$7&lt;=$F71+$G71-1),1,""))</f>
        <v/>
      </c>
      <c r="Q61" s="79" t="str">
        <f aca="false">IF(AND($C71="Goal",Q$7&gt;=$F71,Q$7&lt;=$F71+$G71-1),2,IF(AND($C71="Milestone",Q$7&gt;=$F71,Q$7&lt;=$F71+$G71-1),1,""))</f>
        <v/>
      </c>
      <c r="R61" s="79" t="str">
        <f aca="false">IF(AND($C71="Goal",R$7&gt;=$F71,R$7&lt;=$F71+$G71-1),2,IF(AND($C71="Milestone",R$7&gt;=$F71,R$7&lt;=$F71+$G71-1),1,""))</f>
        <v/>
      </c>
      <c r="S61" s="79" t="str">
        <f aca="false">IF(AND($C71="Goal",S$7&gt;=$F71,S$7&lt;=$F71+$G71-1),2,IF(AND($C71="Milestone",S$7&gt;=$F71,S$7&lt;=$F71+$G71-1),1,""))</f>
        <v/>
      </c>
      <c r="T61" s="79" t="str">
        <f aca="false">IF(AND($C71="Goal",T$7&gt;=$F71,T$7&lt;=$F71+$G71-1),2,IF(AND($C71="Milestone",T$7&gt;=$F71,T$7&lt;=$F71+$G71-1),1,""))</f>
        <v/>
      </c>
      <c r="U61" s="79" t="str">
        <f aca="false">IF(AND($C71="Goal",U$7&gt;=$F71,U$7&lt;=$F71+$G71-1),2,IF(AND($C71="Milestone",U$7&gt;=$F71,U$7&lt;=$F71+$G71-1),1,""))</f>
        <v/>
      </c>
      <c r="V61" s="79" t="str">
        <f aca="false">IF(AND($C71="Goal",V$7&gt;=$F71,V$7&lt;=$F71+$G71-1),2,IF(AND($C71="Milestone",V$7&gt;=$F71,V$7&lt;=$F71+$G71-1),1,""))</f>
        <v/>
      </c>
      <c r="W61" s="79" t="str">
        <f aca="false">IF(AND($C71="Goal",W$7&gt;=$F71,W$7&lt;=$F71+$G71-1),2,IF(AND($C71="Milestone",W$7&gt;=$F71,W$7&lt;=$F71+$G71-1),1,""))</f>
        <v/>
      </c>
      <c r="X61" s="79" t="str">
        <f aca="false">IF(AND($C71="Goal",X$7&gt;=$F71,X$7&lt;=$F71+$G71-1),2,IF(AND($C71="Milestone",X$7&gt;=$F71,X$7&lt;=$F71+$G71-1),1,""))</f>
        <v/>
      </c>
      <c r="Y61" s="79" t="str">
        <f aca="false">IF(AND($C71="Goal",Y$7&gt;=$F71,Y$7&lt;=$F71+$G71-1),2,IF(AND($C71="Milestone",Y$7&gt;=$F71,Y$7&lt;=$F71+$G71-1),1,""))</f>
        <v/>
      </c>
      <c r="Z61" s="79" t="str">
        <f aca="false">IF(AND($C71="Goal",Z$7&gt;=$F71,Z$7&lt;=$F71+$G71-1),2,IF(AND($C71="Milestone",Z$7&gt;=$F71,Z$7&lt;=$F71+$G71-1),1,""))</f>
        <v/>
      </c>
      <c r="AA61" s="79" t="str">
        <f aca="false">IF(AND($C71="Goal",AA$7&gt;=$F71,AA$7&lt;=$F71+$G71-1),2,IF(AND($C71="Milestone",AA$7&gt;=$F71,AA$7&lt;=$F71+$G71-1),1,""))</f>
        <v/>
      </c>
      <c r="AB61" s="79" t="str">
        <f aca="false">IF(AND($C71="Goal",AB$7&gt;=$F71,AB$7&lt;=$F71+$G71-1),2,IF(AND($C71="Milestone",AB$7&gt;=$F71,AB$7&lt;=$F71+$G71-1),1,""))</f>
        <v/>
      </c>
      <c r="AC61" s="79" t="str">
        <f aca="false">IF(AND($C71="Goal",AC$7&gt;=$F71,AC$7&lt;=$F71+$G71-1),2,IF(AND($C71="Milestone",AC$7&gt;=$F71,AC$7&lt;=$F71+$G71-1),1,""))</f>
        <v/>
      </c>
      <c r="AD61" s="79" t="str">
        <f aca="false">IF(AND($C71="Goal",AD$7&gt;=$F71,AD$7&lt;=$F71+$G71-1),2,IF(AND($C71="Milestone",AD$7&gt;=$F71,AD$7&lt;=$F71+$G71-1),1,""))</f>
        <v/>
      </c>
      <c r="AE61" s="79" t="str">
        <f aca="false">IF(AND($C71="Goal",AE$7&gt;=$F71,AE$7&lt;=$F71+$G71-1),2,IF(AND($C71="Milestone",AE$7&gt;=$F71,AE$7&lt;=$F71+$G71-1),1,""))</f>
        <v/>
      </c>
      <c r="AF61" s="79" t="str">
        <f aca="false">IF(AND($C71="Goal",AF$7&gt;=$F71,AF$7&lt;=$F71+$G71-1),2,IF(AND($C71="Milestone",AF$7&gt;=$F71,AF$7&lt;=$F71+$G71-1),1,""))</f>
        <v/>
      </c>
      <c r="AG61" s="79" t="str">
        <f aca="false">IF(AND($C71="Goal",AG$7&gt;=$F71,AG$7&lt;=$F71+$G71-1),2,IF(AND($C71="Milestone",AG$7&gt;=$F71,AG$7&lt;=$F71+$G71-1),1,""))</f>
        <v/>
      </c>
      <c r="AH61" s="79" t="str">
        <f aca="false">IF(AND($C71="Goal",AH$7&gt;=$F71,AH$7&lt;=$F71+$G71-1),2,IF(AND($C71="Milestone",AH$7&gt;=$F71,AH$7&lt;=$F71+$G71-1),1,""))</f>
        <v/>
      </c>
      <c r="AI61" s="79" t="str">
        <f aca="false">IF(AND($C71="Goal",AI$7&gt;=$F71,AI$7&lt;=$F71+$G71-1),2,IF(AND($C71="Milestone",AI$7&gt;=$F71,AI$7&lt;=$F71+$G71-1),1,""))</f>
        <v/>
      </c>
      <c r="AJ61" s="79" t="str">
        <f aca="false">IF(AND($C71="Goal",AJ$7&gt;=$F71,AJ$7&lt;=$F71+$G71-1),2,IF(AND($C71="Milestone",AJ$7&gt;=$F71,AJ$7&lt;=$F71+$G71-1),1,""))</f>
        <v/>
      </c>
      <c r="AK61" s="79" t="str">
        <f aca="false">IF(AND($C71="Goal",AK$7&gt;=$F71,AK$7&lt;=$F71+$G71-1),2,IF(AND($C71="Milestone",AK$7&gt;=$F71,AK$7&lt;=$F71+$G71-1),1,""))</f>
        <v/>
      </c>
      <c r="AL61" s="79" t="str">
        <f aca="false">IF(AND($C71="Goal",AL$7&gt;=$F71,AL$7&lt;=$F71+$G71-1),2,IF(AND($C71="Milestone",AL$7&gt;=$F71,AL$7&lt;=$F71+$G71-1),1,""))</f>
        <v/>
      </c>
      <c r="AM61" s="79" t="str">
        <f aca="false">IF(AND($C71="Goal",AM$7&gt;=$F71,AM$7&lt;=$F71+$G71-1),2,IF(AND($C71="Milestone",AM$7&gt;=$F71,AM$7&lt;=$F71+$G71-1),1,""))</f>
        <v/>
      </c>
      <c r="AN61" s="79" t="str">
        <f aca="false">IF(AND($C71="Goal",AN$7&gt;=$F71,AN$7&lt;=$F71+$G71-1),2,IF(AND($C71="Milestone",AN$7&gt;=$F71,AN$7&lt;=$F71+$G71-1),1,""))</f>
        <v/>
      </c>
      <c r="AO61" s="79" t="str">
        <f aca="false">IF(AND($C71="Goal",AO$7&gt;=$F71,AO$7&lt;=$F71+$G71-1),2,IF(AND($C71="Milestone",AO$7&gt;=$F71,AO$7&lt;=$F71+$G71-1),1,""))</f>
        <v/>
      </c>
      <c r="AP61" s="79" t="str">
        <f aca="false">IF(AND($C71="Goal",AP$7&gt;=$F71,AP$7&lt;=$F71+$G71-1),2,IF(AND($C71="Milestone",AP$7&gt;=$F71,AP$7&lt;=$F71+$G71-1),1,""))</f>
        <v/>
      </c>
      <c r="AQ61" s="79" t="str">
        <f aca="false">IF(AND($C71="Goal",AQ$7&gt;=$F71,AQ$7&lt;=$F71+$G71-1),2,IF(AND($C71="Milestone",AQ$7&gt;=$F71,AQ$7&lt;=$F71+$G71-1),1,""))</f>
        <v/>
      </c>
      <c r="AR61" s="79" t="str">
        <f aca="false">IF(AND($C71="Goal",AR$7&gt;=$F71,AR$7&lt;=$F71+$G71-1),2,IF(AND($C71="Milestone",AR$7&gt;=$F71,AR$7&lt;=$F71+$G71-1),1,""))</f>
        <v/>
      </c>
      <c r="AS61" s="79" t="str">
        <f aca="false">IF(AND($C71="Goal",AS$7&gt;=$F71,AS$7&lt;=$F71+$G71-1),2,IF(AND($C71="Milestone",AS$7&gt;=$F71,AS$7&lt;=$F71+$G71-1),1,""))</f>
        <v/>
      </c>
      <c r="AT61" s="79" t="str">
        <f aca="false">IF(AND($C71="Goal",AT$7&gt;=$F71,AT$7&lt;=$F71+$G71-1),2,IF(AND($C71="Milestone",AT$7&gt;=$F71,AT$7&lt;=$F71+$G71-1),1,""))</f>
        <v/>
      </c>
      <c r="AU61" s="79" t="str">
        <f aca="false">IF(AND($C71="Goal",AU$7&gt;=$F71,AU$7&lt;=$F71+$G71-1),2,IF(AND($C71="Milestone",AU$7&gt;=$F71,AU$7&lt;=$F71+$G71-1),1,""))</f>
        <v/>
      </c>
      <c r="AV61" s="79" t="str">
        <f aca="false">IF(AND($C71="Goal",AV$7&gt;=$F71,AV$7&lt;=$F71+$G71-1),2,IF(AND($C71="Milestone",AV$7&gt;=$F71,AV$7&lt;=$F71+$G71-1),1,""))</f>
        <v/>
      </c>
      <c r="AW61" s="79" t="str">
        <f aca="false">IF(AND($C71="Goal",AW$7&gt;=$F71,AW$7&lt;=$F71+$G71-1),2,IF(AND($C71="Milestone",AW$7&gt;=$F71,AW$7&lt;=$F71+$G71-1),1,""))</f>
        <v/>
      </c>
      <c r="AX61" s="79" t="str">
        <f aca="false">IF(AND($C71="Goal",AX$7&gt;=$F71,AX$7&lt;=$F71+$G71-1),2,IF(AND($C71="Milestone",AX$7&gt;=$F71,AX$7&lt;=$F71+$G71-1),1,""))</f>
        <v/>
      </c>
      <c r="AY61" s="79" t="str">
        <f aca="false">IF(AND($C71="Goal",AY$7&gt;=$F71,AY$7&lt;=$F71+$G71-1),2,IF(AND($C71="Milestone",AY$7&gt;=$F71,AY$7&lt;=$F71+$G71-1),1,""))</f>
        <v/>
      </c>
      <c r="AZ61" s="79" t="str">
        <f aca="false">IF(AND($C71="Goal",AZ$7&gt;=$F71,AZ$7&lt;=$F71+$G71-1),2,IF(AND($C71="Milestone",AZ$7&gt;=$F71,AZ$7&lt;=$F71+$G71-1),1,""))</f>
        <v/>
      </c>
      <c r="BA61" s="79" t="str">
        <f aca="false">IF(AND($C71="Goal",BA$7&gt;=$F71,BA$7&lt;=$F71+$G71-1),2,IF(AND($C71="Milestone",BA$7&gt;=$F71,BA$7&lt;=$F71+$G71-1),1,""))</f>
        <v/>
      </c>
      <c r="BB61" s="79" t="str">
        <f aca="false">IF(AND($C71="Goal",BB$7&gt;=$F71,BB$7&lt;=$F71+$G71-1),2,IF(AND($C71="Milestone",BB$7&gt;=$F71,BB$7&lt;=$F71+$G71-1),1,""))</f>
        <v/>
      </c>
      <c r="BC61" s="79" t="str">
        <f aca="false">IF(AND($C71="Goal",BC$7&gt;=$F71,BC$7&lt;=$F71+$G71-1),2,IF(AND($C71="Milestone",BC$7&gt;=$F71,BC$7&lt;=$F71+$G71-1),1,""))</f>
        <v/>
      </c>
      <c r="BD61" s="79" t="str">
        <f aca="false">IF(AND($C71="Goal",BD$7&gt;=$F71,BD$7&lt;=$F71+$G71-1),2,IF(AND($C71="Milestone",BD$7&gt;=$F71,BD$7&lt;=$F71+$G71-1),1,""))</f>
        <v/>
      </c>
      <c r="BE61" s="79" t="str">
        <f aca="false">IF(AND($C71="Goal",BE$7&gt;=$F71,BE$7&lt;=$F71+$G71-1),2,IF(AND($C71="Milestone",BE$7&gt;=$F71,BE$7&lt;=$F71+$G71-1),1,""))</f>
        <v/>
      </c>
      <c r="BF61" s="79" t="str">
        <f aca="false">IF(AND($C71="Goal",BF$7&gt;=$F71,BF$7&lt;=$F71+$G71-1),2,IF(AND($C71="Milestone",BF$7&gt;=$F71,BF$7&lt;=$F71+$G71-1),1,""))</f>
        <v/>
      </c>
      <c r="BG61" s="79" t="str">
        <f aca="false">IF(AND($C71="Goal",BG$7&gt;=$F71,BG$7&lt;=$F71+$G71-1),2,IF(AND($C71="Milestone",BG$7&gt;=$F71,BG$7&lt;=$F71+$G71-1),1,""))</f>
        <v/>
      </c>
      <c r="BH61" s="79" t="str">
        <f aca="false">IF(AND($C71="Goal",BH$7&gt;=$F71,BH$7&lt;=$F71+$G71-1),2,IF(AND($C71="Milestone",BH$7&gt;=$F71,BH$7&lt;=$F71+$G71-1),1,""))</f>
        <v/>
      </c>
      <c r="BI61" s="79" t="str">
        <f aca="false">IF(AND($C71="Goal",BI$7&gt;=$F71,BI$7&lt;=$F71+$G71-1),2,IF(AND($C71="Milestone",BI$7&gt;=$F71,BI$7&lt;=$F71+$G71-1),1,""))</f>
        <v/>
      </c>
      <c r="BJ61" s="79" t="str">
        <f aca="false">IF(AND($C71="Goal",BJ$7&gt;=$F71,BJ$7&lt;=$F71+$G71-1),2,IF(AND($C71="Milestone",BJ$7&gt;=$F71,BJ$7&lt;=$F71+$G71-1),1,""))</f>
        <v/>
      </c>
      <c r="BK61" s="79" t="str">
        <f aca="false">IF(AND($C71="Goal",BK$7&gt;=$F71,BK$7&lt;=$F71+$G71-1),2,IF(AND($C71="Milestone",BK$7&gt;=$F71,BK$7&lt;=$F71+$G71-1),1,""))</f>
        <v/>
      </c>
      <c r="BL61" s="79" t="str">
        <f aca="false">IF(AND($C71="Goal",BL$7&gt;=$F71,BL$7&lt;=$F71+$G71-1),2,IF(AND($C71="Milestone",BL$7&gt;=$F71,BL$7&lt;=$F71+$G71-1),1,""))</f>
        <v/>
      </c>
    </row>
    <row r="62" s="25" customFormat="true" ht="39.75" hidden="false" customHeight="true" outlineLevel="0" collapsed="false">
      <c r="A62" s="13"/>
      <c r="B62" s="95"/>
      <c r="C62" s="67"/>
      <c r="D62" s="67"/>
      <c r="E62" s="68"/>
      <c r="F62" s="69"/>
      <c r="G62" s="70"/>
      <c r="H62" s="67"/>
      <c r="I62" s="79" t="str">
        <f aca="false">IF(AND($C72="Goal",I$7&gt;=$F72,I$7&lt;=$F72+$G72-1),2,IF(AND($C72="Milestone",I$7&gt;=$F72,I$7&lt;=$F72+$G72-1),1,""))</f>
        <v/>
      </c>
      <c r="J62" s="79" t="str">
        <f aca="false">IF(AND($C72="Goal",J$7&gt;=$F72,J$7&lt;=$F72+$G72-1),2,IF(AND($C72="Milestone",J$7&gt;=$F72,J$7&lt;=$F72+$G72-1),1,""))</f>
        <v/>
      </c>
      <c r="K62" s="79" t="str">
        <f aca="false">IF(AND($C72="Goal",K$7&gt;=$F72,K$7&lt;=$F72+$G72-1),2,IF(AND($C72="Milestone",K$7&gt;=$F72,K$7&lt;=$F72+$G72-1),1,""))</f>
        <v/>
      </c>
      <c r="L62" s="79" t="str">
        <f aca="false">IF(AND($C72="Goal",L$7&gt;=$F72,L$7&lt;=$F72+$G72-1),2,IF(AND($C72="Milestone",L$7&gt;=$F72,L$7&lt;=$F72+$G72-1),1,""))</f>
        <v/>
      </c>
      <c r="M62" s="79" t="str">
        <f aca="false">IF(AND($C72="Goal",M$7&gt;=$F72,M$7&lt;=$F72+$G72-1),2,IF(AND($C72="Milestone",M$7&gt;=$F72,M$7&lt;=$F72+$G72-1),1,""))</f>
        <v/>
      </c>
      <c r="N62" s="79" t="str">
        <f aca="false">IF(AND($C72="Goal",N$7&gt;=$F72,N$7&lt;=$F72+$G72-1),2,IF(AND($C72="Milestone",N$7&gt;=$F72,N$7&lt;=$F72+$G72-1),1,""))</f>
        <v/>
      </c>
      <c r="O62" s="79" t="str">
        <f aca="false">IF(AND($C72="Goal",O$7&gt;=$F72,O$7&lt;=$F72+$G72-1),2,IF(AND($C72="Milestone",O$7&gt;=$F72,O$7&lt;=$F72+$G72-1),1,""))</f>
        <v/>
      </c>
      <c r="P62" s="79" t="str">
        <f aca="false">IF(AND($C72="Goal",P$7&gt;=$F72,P$7&lt;=$F72+$G72-1),2,IF(AND($C72="Milestone",P$7&gt;=$F72,P$7&lt;=$F72+$G72-1),1,""))</f>
        <v/>
      </c>
      <c r="Q62" s="79" t="str">
        <f aca="false">IF(AND($C72="Goal",Q$7&gt;=$F72,Q$7&lt;=$F72+$G72-1),2,IF(AND($C72="Milestone",Q$7&gt;=$F72,Q$7&lt;=$F72+$G72-1),1,""))</f>
        <v/>
      </c>
      <c r="R62" s="79" t="str">
        <f aca="false">IF(AND($C72="Goal",R$7&gt;=$F72,R$7&lt;=$F72+$G72-1),2,IF(AND($C72="Milestone",R$7&gt;=$F72,R$7&lt;=$F72+$G72-1),1,""))</f>
        <v/>
      </c>
      <c r="S62" s="79" t="str">
        <f aca="false">IF(AND($C72="Goal",S$7&gt;=$F72,S$7&lt;=$F72+$G72-1),2,IF(AND($C72="Milestone",S$7&gt;=$F72,S$7&lt;=$F72+$G72-1),1,""))</f>
        <v/>
      </c>
      <c r="T62" s="79" t="str">
        <f aca="false">IF(AND($C72="Goal",T$7&gt;=$F72,T$7&lt;=$F72+$G72-1),2,IF(AND($C72="Milestone",T$7&gt;=$F72,T$7&lt;=$F72+$G72-1),1,""))</f>
        <v/>
      </c>
      <c r="U62" s="79" t="str">
        <f aca="false">IF(AND($C72="Goal",U$7&gt;=$F72,U$7&lt;=$F72+$G72-1),2,IF(AND($C72="Milestone",U$7&gt;=$F72,U$7&lt;=$F72+$G72-1),1,""))</f>
        <v/>
      </c>
      <c r="V62" s="79" t="str">
        <f aca="false">IF(AND($C72="Goal",V$7&gt;=$F72,V$7&lt;=$F72+$G72-1),2,IF(AND($C72="Milestone",V$7&gt;=$F72,V$7&lt;=$F72+$G72-1),1,""))</f>
        <v/>
      </c>
      <c r="W62" s="79" t="str">
        <f aca="false">IF(AND($C72="Goal",W$7&gt;=$F72,W$7&lt;=$F72+$G72-1),2,IF(AND($C72="Milestone",W$7&gt;=$F72,W$7&lt;=$F72+$G72-1),1,""))</f>
        <v/>
      </c>
      <c r="X62" s="79" t="str">
        <f aca="false">IF(AND($C72="Goal",X$7&gt;=$F72,X$7&lt;=$F72+$G72-1),2,IF(AND($C72="Milestone",X$7&gt;=$F72,X$7&lt;=$F72+$G72-1),1,""))</f>
        <v/>
      </c>
      <c r="Y62" s="79" t="str">
        <f aca="false">IF(AND($C72="Goal",Y$7&gt;=$F72,Y$7&lt;=$F72+$G72-1),2,IF(AND($C72="Milestone",Y$7&gt;=$F72,Y$7&lt;=$F72+$G72-1),1,""))</f>
        <v/>
      </c>
      <c r="Z62" s="79" t="str">
        <f aca="false">IF(AND($C72="Goal",Z$7&gt;=$F72,Z$7&lt;=$F72+$G72-1),2,IF(AND($C72="Milestone",Z$7&gt;=$F72,Z$7&lt;=$F72+$G72-1),1,""))</f>
        <v/>
      </c>
      <c r="AA62" s="79" t="str">
        <f aca="false">IF(AND($C72="Goal",AA$7&gt;=$F72,AA$7&lt;=$F72+$G72-1),2,IF(AND($C72="Milestone",AA$7&gt;=$F72,AA$7&lt;=$F72+$G72-1),1,""))</f>
        <v/>
      </c>
      <c r="AB62" s="79" t="str">
        <f aca="false">IF(AND($C72="Goal",AB$7&gt;=$F72,AB$7&lt;=$F72+$G72-1),2,IF(AND($C72="Milestone",AB$7&gt;=$F72,AB$7&lt;=$F72+$G72-1),1,""))</f>
        <v/>
      </c>
      <c r="AC62" s="79" t="str">
        <f aca="false">IF(AND($C72="Goal",AC$7&gt;=$F72,AC$7&lt;=$F72+$G72-1),2,IF(AND($C72="Milestone",AC$7&gt;=$F72,AC$7&lt;=$F72+$G72-1),1,""))</f>
        <v/>
      </c>
      <c r="AD62" s="79" t="str">
        <f aca="false">IF(AND($C72="Goal",AD$7&gt;=$F72,AD$7&lt;=$F72+$G72-1),2,IF(AND($C72="Milestone",AD$7&gt;=$F72,AD$7&lt;=$F72+$G72-1),1,""))</f>
        <v/>
      </c>
      <c r="AE62" s="79" t="str">
        <f aca="false">IF(AND($C72="Goal",AE$7&gt;=$F72,AE$7&lt;=$F72+$G72-1),2,IF(AND($C72="Milestone",AE$7&gt;=$F72,AE$7&lt;=$F72+$G72-1),1,""))</f>
        <v/>
      </c>
      <c r="AF62" s="79" t="str">
        <f aca="false">IF(AND($C72="Goal",AF$7&gt;=$F72,AF$7&lt;=$F72+$G72-1),2,IF(AND($C72="Milestone",AF$7&gt;=$F72,AF$7&lt;=$F72+$G72-1),1,""))</f>
        <v/>
      </c>
      <c r="AG62" s="79" t="str">
        <f aca="false">IF(AND($C72="Goal",AG$7&gt;=$F72,AG$7&lt;=$F72+$G72-1),2,IF(AND($C72="Milestone",AG$7&gt;=$F72,AG$7&lt;=$F72+$G72-1),1,""))</f>
        <v/>
      </c>
      <c r="AH62" s="79" t="str">
        <f aca="false">IF(AND($C72="Goal",AH$7&gt;=$F72,AH$7&lt;=$F72+$G72-1),2,IF(AND($C72="Milestone",AH$7&gt;=$F72,AH$7&lt;=$F72+$G72-1),1,""))</f>
        <v/>
      </c>
      <c r="AI62" s="79" t="str">
        <f aca="false">IF(AND($C72="Goal",AI$7&gt;=$F72,AI$7&lt;=$F72+$G72-1),2,IF(AND($C72="Milestone",AI$7&gt;=$F72,AI$7&lt;=$F72+$G72-1),1,""))</f>
        <v/>
      </c>
      <c r="AJ62" s="79" t="str">
        <f aca="false">IF(AND($C72="Goal",AJ$7&gt;=$F72,AJ$7&lt;=$F72+$G72-1),2,IF(AND($C72="Milestone",AJ$7&gt;=$F72,AJ$7&lt;=$F72+$G72-1),1,""))</f>
        <v/>
      </c>
      <c r="AK62" s="79" t="str">
        <f aca="false">IF(AND($C72="Goal",AK$7&gt;=$F72,AK$7&lt;=$F72+$G72-1),2,IF(AND($C72="Milestone",AK$7&gt;=$F72,AK$7&lt;=$F72+$G72-1),1,""))</f>
        <v/>
      </c>
      <c r="AL62" s="79" t="str">
        <f aca="false">IF(AND($C72="Goal",AL$7&gt;=$F72,AL$7&lt;=$F72+$G72-1),2,IF(AND($C72="Milestone",AL$7&gt;=$F72,AL$7&lt;=$F72+$G72-1),1,""))</f>
        <v/>
      </c>
      <c r="AM62" s="79" t="str">
        <f aca="false">IF(AND($C72="Goal",AM$7&gt;=$F72,AM$7&lt;=$F72+$G72-1),2,IF(AND($C72="Milestone",AM$7&gt;=$F72,AM$7&lt;=$F72+$G72-1),1,""))</f>
        <v/>
      </c>
      <c r="AN62" s="79" t="str">
        <f aca="false">IF(AND($C72="Goal",AN$7&gt;=$F72,AN$7&lt;=$F72+$G72-1),2,IF(AND($C72="Milestone",AN$7&gt;=$F72,AN$7&lt;=$F72+$G72-1),1,""))</f>
        <v/>
      </c>
      <c r="AO62" s="79" t="str">
        <f aca="false">IF(AND($C72="Goal",AO$7&gt;=$F72,AO$7&lt;=$F72+$G72-1),2,IF(AND($C72="Milestone",AO$7&gt;=$F72,AO$7&lt;=$F72+$G72-1),1,""))</f>
        <v/>
      </c>
      <c r="AP62" s="79" t="str">
        <f aca="false">IF(AND($C72="Goal",AP$7&gt;=$F72,AP$7&lt;=$F72+$G72-1),2,IF(AND($C72="Milestone",AP$7&gt;=$F72,AP$7&lt;=$F72+$G72-1),1,""))</f>
        <v/>
      </c>
      <c r="AQ62" s="79" t="str">
        <f aca="false">IF(AND($C72="Goal",AQ$7&gt;=$F72,AQ$7&lt;=$F72+$G72-1),2,IF(AND($C72="Milestone",AQ$7&gt;=$F72,AQ$7&lt;=$F72+$G72-1),1,""))</f>
        <v/>
      </c>
      <c r="AR62" s="79" t="str">
        <f aca="false">IF(AND($C72="Goal",AR$7&gt;=$F72,AR$7&lt;=$F72+$G72-1),2,IF(AND($C72="Milestone",AR$7&gt;=$F72,AR$7&lt;=$F72+$G72-1),1,""))</f>
        <v/>
      </c>
      <c r="AS62" s="79" t="str">
        <f aca="false">IF(AND($C72="Goal",AS$7&gt;=$F72,AS$7&lt;=$F72+$G72-1),2,IF(AND($C72="Milestone",AS$7&gt;=$F72,AS$7&lt;=$F72+$G72-1),1,""))</f>
        <v/>
      </c>
      <c r="AT62" s="79" t="str">
        <f aca="false">IF(AND($C72="Goal",AT$7&gt;=$F72,AT$7&lt;=$F72+$G72-1),2,IF(AND($C72="Milestone",AT$7&gt;=$F72,AT$7&lt;=$F72+$G72-1),1,""))</f>
        <v/>
      </c>
      <c r="AU62" s="79" t="str">
        <f aca="false">IF(AND($C72="Goal",AU$7&gt;=$F72,AU$7&lt;=$F72+$G72-1),2,IF(AND($C72="Milestone",AU$7&gt;=$F72,AU$7&lt;=$F72+$G72-1),1,""))</f>
        <v/>
      </c>
      <c r="AV62" s="79" t="str">
        <f aca="false">IF(AND($C72="Goal",AV$7&gt;=$F72,AV$7&lt;=$F72+$G72-1),2,IF(AND($C72="Milestone",AV$7&gt;=$F72,AV$7&lt;=$F72+$G72-1),1,""))</f>
        <v/>
      </c>
      <c r="AW62" s="79" t="str">
        <f aca="false">IF(AND($C72="Goal",AW$7&gt;=$F72,AW$7&lt;=$F72+$G72-1),2,IF(AND($C72="Milestone",AW$7&gt;=$F72,AW$7&lt;=$F72+$G72-1),1,""))</f>
        <v/>
      </c>
      <c r="AX62" s="79" t="str">
        <f aca="false">IF(AND($C72="Goal",AX$7&gt;=$F72,AX$7&lt;=$F72+$G72-1),2,IF(AND($C72="Milestone",AX$7&gt;=$F72,AX$7&lt;=$F72+$G72-1),1,""))</f>
        <v/>
      </c>
      <c r="AY62" s="79" t="str">
        <f aca="false">IF(AND($C72="Goal",AY$7&gt;=$F72,AY$7&lt;=$F72+$G72-1),2,IF(AND($C72="Milestone",AY$7&gt;=$F72,AY$7&lt;=$F72+$G72-1),1,""))</f>
        <v/>
      </c>
      <c r="AZ62" s="79" t="str">
        <f aca="false">IF(AND($C72="Goal",AZ$7&gt;=$F72,AZ$7&lt;=$F72+$G72-1),2,IF(AND($C72="Milestone",AZ$7&gt;=$F72,AZ$7&lt;=$F72+$G72-1),1,""))</f>
        <v/>
      </c>
      <c r="BA62" s="79" t="str">
        <f aca="false">IF(AND($C72="Goal",BA$7&gt;=$F72,BA$7&lt;=$F72+$G72-1),2,IF(AND($C72="Milestone",BA$7&gt;=$F72,BA$7&lt;=$F72+$G72-1),1,""))</f>
        <v/>
      </c>
      <c r="BB62" s="79" t="str">
        <f aca="false">IF(AND($C72="Goal",BB$7&gt;=$F72,BB$7&lt;=$F72+$G72-1),2,IF(AND($C72="Milestone",BB$7&gt;=$F72,BB$7&lt;=$F72+$G72-1),1,""))</f>
        <v/>
      </c>
      <c r="BC62" s="79" t="str">
        <f aca="false">IF(AND($C72="Goal",BC$7&gt;=$F72,BC$7&lt;=$F72+$G72-1),2,IF(AND($C72="Milestone",BC$7&gt;=$F72,BC$7&lt;=$F72+$G72-1),1,""))</f>
        <v/>
      </c>
      <c r="BD62" s="79" t="str">
        <f aca="false">IF(AND($C72="Goal",BD$7&gt;=$F72,BD$7&lt;=$F72+$G72-1),2,IF(AND($C72="Milestone",BD$7&gt;=$F72,BD$7&lt;=$F72+$G72-1),1,""))</f>
        <v/>
      </c>
      <c r="BE62" s="79" t="str">
        <f aca="false">IF(AND($C72="Goal",BE$7&gt;=$F72,BE$7&lt;=$F72+$G72-1),2,IF(AND($C72="Milestone",BE$7&gt;=$F72,BE$7&lt;=$F72+$G72-1),1,""))</f>
        <v/>
      </c>
      <c r="BF62" s="79" t="str">
        <f aca="false">IF(AND($C72="Goal",BF$7&gt;=$F72,BF$7&lt;=$F72+$G72-1),2,IF(AND($C72="Milestone",BF$7&gt;=$F72,BF$7&lt;=$F72+$G72-1),1,""))</f>
        <v/>
      </c>
      <c r="BG62" s="79" t="str">
        <f aca="false">IF(AND($C72="Goal",BG$7&gt;=$F72,BG$7&lt;=$F72+$G72-1),2,IF(AND($C72="Milestone",BG$7&gt;=$F72,BG$7&lt;=$F72+$G72-1),1,""))</f>
        <v/>
      </c>
      <c r="BH62" s="79" t="str">
        <f aca="false">IF(AND($C72="Goal",BH$7&gt;=$F72,BH$7&lt;=$F72+$G72-1),2,IF(AND($C72="Milestone",BH$7&gt;=$F72,BH$7&lt;=$F72+$G72-1),1,""))</f>
        <v/>
      </c>
      <c r="BI62" s="79" t="str">
        <f aca="false">IF(AND($C72="Goal",BI$7&gt;=$F72,BI$7&lt;=$F72+$G72-1),2,IF(AND($C72="Milestone",BI$7&gt;=$F72,BI$7&lt;=$F72+$G72-1),1,""))</f>
        <v/>
      </c>
      <c r="BJ62" s="79" t="str">
        <f aca="false">IF(AND($C72="Goal",BJ$7&gt;=$F72,BJ$7&lt;=$F72+$G72-1),2,IF(AND($C72="Milestone",BJ$7&gt;=$F72,BJ$7&lt;=$F72+$G72-1),1,""))</f>
        <v/>
      </c>
      <c r="BK62" s="79" t="str">
        <f aca="false">IF(AND($C72="Goal",BK$7&gt;=$F72,BK$7&lt;=$F72+$G72-1),2,IF(AND($C72="Milestone",BK$7&gt;=$F72,BK$7&lt;=$F72+$G72-1),1,""))</f>
        <v/>
      </c>
      <c r="BL62" s="79" t="str">
        <f aca="false">IF(AND($C72="Goal",BL$7&gt;=$F72,BL$7&lt;=$F72+$G72-1),2,IF(AND($C72="Milestone",BL$7&gt;=$F72,BL$7&lt;=$F72+$G72-1),1,""))</f>
        <v/>
      </c>
    </row>
    <row r="63" s="25" customFormat="true" ht="39.75" hidden="false" customHeight="true" outlineLevel="0" collapsed="false">
      <c r="A63" s="15"/>
      <c r="B63" s="96"/>
      <c r="C63" s="67"/>
      <c r="D63" s="67"/>
      <c r="E63" s="68"/>
      <c r="F63" s="69"/>
      <c r="G63" s="70"/>
      <c r="H63" s="67"/>
      <c r="I63" s="71" t="e">
        <f aca="false">IF(AND(#REF!="Goal",I$7&gt;=#REF!,I$7&lt;=#REF!+#REF!-1),2,IF(AND(#REF!="Milestone",I$7&gt;=#REF!,I$7&lt;=#REF!+#REF!-1),1,""))</f>
        <v>#REF!</v>
      </c>
      <c r="J63" s="71" t="e">
        <f aca="false">IF(AND(#REF!="Goal",J$7&gt;=#REF!,J$7&lt;=#REF!+#REF!-1),2,IF(AND(#REF!="Milestone",J$7&gt;=#REF!,J$7&lt;=#REF!+#REF!-1),1,""))</f>
        <v>#REF!</v>
      </c>
      <c r="K63" s="71" t="e">
        <f aca="false">IF(AND(#REF!="Goal",K$7&gt;=#REF!,K$7&lt;=#REF!+#REF!-1),2,IF(AND(#REF!="Milestone",K$7&gt;=#REF!,K$7&lt;=#REF!+#REF!-1),1,""))</f>
        <v>#REF!</v>
      </c>
      <c r="L63" s="71" t="e">
        <f aca="false">IF(AND(#REF!="Goal",L$7&gt;=#REF!,L$7&lt;=#REF!+#REF!-1),2,IF(AND(#REF!="Milestone",L$7&gt;=#REF!,L$7&lt;=#REF!+#REF!-1),1,""))</f>
        <v>#REF!</v>
      </c>
      <c r="M63" s="71" t="e">
        <f aca="false">IF(AND(#REF!="Goal",M$7&gt;=#REF!,M$7&lt;=#REF!+#REF!-1),2,IF(AND(#REF!="Milestone",M$7&gt;=#REF!,M$7&lt;=#REF!+#REF!-1),1,""))</f>
        <v>#REF!</v>
      </c>
      <c r="N63" s="71" t="e">
        <f aca="false">IF(AND(#REF!="Goal",N$7&gt;=#REF!,N$7&lt;=#REF!+#REF!-1),2,IF(AND(#REF!="Milestone",N$7&gt;=#REF!,N$7&lt;=#REF!+#REF!-1),1,""))</f>
        <v>#REF!</v>
      </c>
      <c r="O63" s="71" t="e">
        <f aca="false">IF(AND(#REF!="Goal",O$7&gt;=#REF!,O$7&lt;=#REF!+#REF!-1),2,IF(AND(#REF!="Milestone",O$7&gt;=#REF!,O$7&lt;=#REF!+#REF!-1),1,""))</f>
        <v>#REF!</v>
      </c>
      <c r="P63" s="71" t="e">
        <f aca="false">IF(AND(#REF!="Goal",P$7&gt;=#REF!,P$7&lt;=#REF!+#REF!-1),2,IF(AND(#REF!="Milestone",P$7&gt;=#REF!,P$7&lt;=#REF!+#REF!-1),1,""))</f>
        <v>#REF!</v>
      </c>
      <c r="Q63" s="71" t="e">
        <f aca="false">IF(AND(#REF!="Goal",Q$7&gt;=#REF!,Q$7&lt;=#REF!+#REF!-1),2,IF(AND(#REF!="Milestone",Q$7&gt;=#REF!,Q$7&lt;=#REF!+#REF!-1),1,""))</f>
        <v>#REF!</v>
      </c>
      <c r="R63" s="71" t="e">
        <f aca="false">IF(AND(#REF!="Goal",R$7&gt;=#REF!,R$7&lt;=#REF!+#REF!-1),2,IF(AND(#REF!="Milestone",R$7&gt;=#REF!,R$7&lt;=#REF!+#REF!-1),1,""))</f>
        <v>#REF!</v>
      </c>
      <c r="S63" s="71" t="e">
        <f aca="false">IF(AND(#REF!="Goal",S$7&gt;=#REF!,S$7&lt;=#REF!+#REF!-1),2,IF(AND(#REF!="Milestone",S$7&gt;=#REF!,S$7&lt;=#REF!+#REF!-1),1,""))</f>
        <v>#REF!</v>
      </c>
      <c r="T63" s="71" t="e">
        <f aca="false">IF(AND(#REF!="Goal",T$7&gt;=#REF!,T$7&lt;=#REF!+#REF!-1),2,IF(AND(#REF!="Milestone",T$7&gt;=#REF!,T$7&lt;=#REF!+#REF!-1),1,""))</f>
        <v>#REF!</v>
      </c>
      <c r="U63" s="71" t="e">
        <f aca="false">IF(AND(#REF!="Goal",U$7&gt;=#REF!,U$7&lt;=#REF!+#REF!-1),2,IF(AND(#REF!="Milestone",U$7&gt;=#REF!,U$7&lt;=#REF!+#REF!-1),1,""))</f>
        <v>#REF!</v>
      </c>
      <c r="V63" s="71" t="e">
        <f aca="false">IF(AND(#REF!="Goal",V$7&gt;=#REF!,V$7&lt;=#REF!+#REF!-1),2,IF(AND(#REF!="Milestone",V$7&gt;=#REF!,V$7&lt;=#REF!+#REF!-1),1,""))</f>
        <v>#REF!</v>
      </c>
      <c r="W63" s="71" t="e">
        <f aca="false">IF(AND(#REF!="Goal",W$7&gt;=#REF!,W$7&lt;=#REF!+#REF!-1),2,IF(AND(#REF!="Milestone",W$7&gt;=#REF!,W$7&lt;=#REF!+#REF!-1),1,""))</f>
        <v>#REF!</v>
      </c>
      <c r="X63" s="71" t="e">
        <f aca="false">IF(AND(#REF!="Goal",X$7&gt;=#REF!,X$7&lt;=#REF!+#REF!-1),2,IF(AND(#REF!="Milestone",X$7&gt;=#REF!,X$7&lt;=#REF!+#REF!-1),1,""))</f>
        <v>#REF!</v>
      </c>
      <c r="Y63" s="71" t="e">
        <f aca="false">IF(AND(#REF!="Goal",Y$7&gt;=#REF!,Y$7&lt;=#REF!+#REF!-1),2,IF(AND(#REF!="Milestone",Y$7&gt;=#REF!,Y$7&lt;=#REF!+#REF!-1),1,""))</f>
        <v>#REF!</v>
      </c>
      <c r="Z63" s="71" t="e">
        <f aca="false">IF(AND(#REF!="Goal",Z$7&gt;=#REF!,Z$7&lt;=#REF!+#REF!-1),2,IF(AND(#REF!="Milestone",Z$7&gt;=#REF!,Z$7&lt;=#REF!+#REF!-1),1,""))</f>
        <v>#REF!</v>
      </c>
      <c r="AA63" s="71" t="e">
        <f aca="false">IF(AND(#REF!="Goal",AA$7&gt;=#REF!,AA$7&lt;=#REF!+#REF!-1),2,IF(AND(#REF!="Milestone",AA$7&gt;=#REF!,AA$7&lt;=#REF!+#REF!-1),1,""))</f>
        <v>#REF!</v>
      </c>
      <c r="AB63" s="71" t="e">
        <f aca="false">IF(AND(#REF!="Goal",AB$7&gt;=#REF!,AB$7&lt;=#REF!+#REF!-1),2,IF(AND(#REF!="Milestone",AB$7&gt;=#REF!,AB$7&lt;=#REF!+#REF!-1),1,""))</f>
        <v>#REF!</v>
      </c>
      <c r="AC63" s="71" t="e">
        <f aca="false">IF(AND(#REF!="Goal",AC$7&gt;=#REF!,AC$7&lt;=#REF!+#REF!-1),2,IF(AND(#REF!="Milestone",AC$7&gt;=#REF!,AC$7&lt;=#REF!+#REF!-1),1,""))</f>
        <v>#REF!</v>
      </c>
      <c r="AD63" s="71" t="e">
        <f aca="false">IF(AND(#REF!="Goal",AD$7&gt;=#REF!,AD$7&lt;=#REF!+#REF!-1),2,IF(AND(#REF!="Milestone",AD$7&gt;=#REF!,AD$7&lt;=#REF!+#REF!-1),1,""))</f>
        <v>#REF!</v>
      </c>
      <c r="AE63" s="71" t="e">
        <f aca="false">IF(AND(#REF!="Goal",AE$7&gt;=#REF!,AE$7&lt;=#REF!+#REF!-1),2,IF(AND(#REF!="Milestone",AE$7&gt;=#REF!,AE$7&lt;=#REF!+#REF!-1),1,""))</f>
        <v>#REF!</v>
      </c>
      <c r="AF63" s="71" t="e">
        <f aca="false">IF(AND(#REF!="Goal",AF$7&gt;=#REF!,AF$7&lt;=#REF!+#REF!-1),2,IF(AND(#REF!="Milestone",AF$7&gt;=#REF!,AF$7&lt;=#REF!+#REF!-1),1,""))</f>
        <v>#REF!</v>
      </c>
      <c r="AG63" s="71" t="e">
        <f aca="false">IF(AND(#REF!="Goal",AG$7&gt;=#REF!,AG$7&lt;=#REF!+#REF!-1),2,IF(AND(#REF!="Milestone",AG$7&gt;=#REF!,AG$7&lt;=#REF!+#REF!-1),1,""))</f>
        <v>#REF!</v>
      </c>
      <c r="AH63" s="71" t="e">
        <f aca="false">IF(AND(#REF!="Goal",AH$7&gt;=#REF!,AH$7&lt;=#REF!+#REF!-1),2,IF(AND(#REF!="Milestone",AH$7&gt;=#REF!,AH$7&lt;=#REF!+#REF!-1),1,""))</f>
        <v>#REF!</v>
      </c>
      <c r="AI63" s="71" t="e">
        <f aca="false">IF(AND(#REF!="Goal",AI$7&gt;=#REF!,AI$7&lt;=#REF!+#REF!-1),2,IF(AND(#REF!="Milestone",AI$7&gt;=#REF!,AI$7&lt;=#REF!+#REF!-1),1,""))</f>
        <v>#REF!</v>
      </c>
      <c r="AJ63" s="71" t="e">
        <f aca="false">IF(AND(#REF!="Goal",AJ$7&gt;=#REF!,AJ$7&lt;=#REF!+#REF!-1),2,IF(AND(#REF!="Milestone",AJ$7&gt;=#REF!,AJ$7&lt;=#REF!+#REF!-1),1,""))</f>
        <v>#REF!</v>
      </c>
      <c r="AK63" s="71" t="e">
        <f aca="false">IF(AND(#REF!="Goal",AK$7&gt;=#REF!,AK$7&lt;=#REF!+#REF!-1),2,IF(AND(#REF!="Milestone",AK$7&gt;=#REF!,AK$7&lt;=#REF!+#REF!-1),1,""))</f>
        <v>#REF!</v>
      </c>
      <c r="AL63" s="71" t="e">
        <f aca="false">IF(AND(#REF!="Goal",AL$7&gt;=#REF!,AL$7&lt;=#REF!+#REF!-1),2,IF(AND(#REF!="Milestone",AL$7&gt;=#REF!,AL$7&lt;=#REF!+#REF!-1),1,""))</f>
        <v>#REF!</v>
      </c>
      <c r="AM63" s="71" t="e">
        <f aca="false">IF(AND(#REF!="Goal",AM$7&gt;=#REF!,AM$7&lt;=#REF!+#REF!-1),2,IF(AND(#REF!="Milestone",AM$7&gt;=#REF!,AM$7&lt;=#REF!+#REF!-1),1,""))</f>
        <v>#REF!</v>
      </c>
      <c r="AN63" s="71" t="e">
        <f aca="false">IF(AND(#REF!="Goal",AN$7&gt;=#REF!,AN$7&lt;=#REF!+#REF!-1),2,IF(AND(#REF!="Milestone",AN$7&gt;=#REF!,AN$7&lt;=#REF!+#REF!-1),1,""))</f>
        <v>#REF!</v>
      </c>
      <c r="AO63" s="71" t="e">
        <f aca="false">IF(AND(#REF!="Goal",AO$7&gt;=#REF!,AO$7&lt;=#REF!+#REF!-1),2,IF(AND(#REF!="Milestone",AO$7&gt;=#REF!,AO$7&lt;=#REF!+#REF!-1),1,""))</f>
        <v>#REF!</v>
      </c>
      <c r="AP63" s="71" t="e">
        <f aca="false">IF(AND(#REF!="Goal",AP$7&gt;=#REF!,AP$7&lt;=#REF!+#REF!-1),2,IF(AND(#REF!="Milestone",AP$7&gt;=#REF!,AP$7&lt;=#REF!+#REF!-1),1,""))</f>
        <v>#REF!</v>
      </c>
      <c r="AQ63" s="71" t="e">
        <f aca="false">IF(AND(#REF!="Goal",AQ$7&gt;=#REF!,AQ$7&lt;=#REF!+#REF!-1),2,IF(AND(#REF!="Milestone",AQ$7&gt;=#REF!,AQ$7&lt;=#REF!+#REF!-1),1,""))</f>
        <v>#REF!</v>
      </c>
      <c r="AR63" s="71" t="e">
        <f aca="false">IF(AND(#REF!="Goal",AR$7&gt;=#REF!,AR$7&lt;=#REF!+#REF!-1),2,IF(AND(#REF!="Milestone",AR$7&gt;=#REF!,AR$7&lt;=#REF!+#REF!-1),1,""))</f>
        <v>#REF!</v>
      </c>
      <c r="AS63" s="71" t="e">
        <f aca="false">IF(AND(#REF!="Goal",AS$7&gt;=#REF!,AS$7&lt;=#REF!+#REF!-1),2,IF(AND(#REF!="Milestone",AS$7&gt;=#REF!,AS$7&lt;=#REF!+#REF!-1),1,""))</f>
        <v>#REF!</v>
      </c>
      <c r="AT63" s="71" t="e">
        <f aca="false">IF(AND(#REF!="Goal",AT$7&gt;=#REF!,AT$7&lt;=#REF!+#REF!-1),2,IF(AND(#REF!="Milestone",AT$7&gt;=#REF!,AT$7&lt;=#REF!+#REF!-1),1,""))</f>
        <v>#REF!</v>
      </c>
      <c r="AU63" s="71" t="e">
        <f aca="false">IF(AND(#REF!="Goal",AU$7&gt;=#REF!,AU$7&lt;=#REF!+#REF!-1),2,IF(AND(#REF!="Milestone",AU$7&gt;=#REF!,AU$7&lt;=#REF!+#REF!-1),1,""))</f>
        <v>#REF!</v>
      </c>
      <c r="AV63" s="71" t="e">
        <f aca="false">IF(AND(#REF!="Goal",AV$7&gt;=#REF!,AV$7&lt;=#REF!+#REF!-1),2,IF(AND(#REF!="Milestone",AV$7&gt;=#REF!,AV$7&lt;=#REF!+#REF!-1),1,""))</f>
        <v>#REF!</v>
      </c>
      <c r="AW63" s="71" t="e">
        <f aca="false">IF(AND(#REF!="Goal",AW$7&gt;=#REF!,AW$7&lt;=#REF!+#REF!-1),2,IF(AND(#REF!="Milestone",AW$7&gt;=#REF!,AW$7&lt;=#REF!+#REF!-1),1,""))</f>
        <v>#REF!</v>
      </c>
      <c r="AX63" s="71" t="e">
        <f aca="false">IF(AND(#REF!="Goal",AX$7&gt;=#REF!,AX$7&lt;=#REF!+#REF!-1),2,IF(AND(#REF!="Milestone",AX$7&gt;=#REF!,AX$7&lt;=#REF!+#REF!-1),1,""))</f>
        <v>#REF!</v>
      </c>
      <c r="AY63" s="71" t="e">
        <f aca="false">IF(AND(#REF!="Goal",AY$7&gt;=#REF!,AY$7&lt;=#REF!+#REF!-1),2,IF(AND(#REF!="Milestone",AY$7&gt;=#REF!,AY$7&lt;=#REF!+#REF!-1),1,""))</f>
        <v>#REF!</v>
      </c>
      <c r="AZ63" s="71" t="e">
        <f aca="false">IF(AND(#REF!="Goal",AZ$7&gt;=#REF!,AZ$7&lt;=#REF!+#REF!-1),2,IF(AND(#REF!="Milestone",AZ$7&gt;=#REF!,AZ$7&lt;=#REF!+#REF!-1),1,""))</f>
        <v>#REF!</v>
      </c>
      <c r="BA63" s="71" t="e">
        <f aca="false">IF(AND(#REF!="Goal",BA$7&gt;=#REF!,BA$7&lt;=#REF!+#REF!-1),2,IF(AND(#REF!="Milestone",BA$7&gt;=#REF!,BA$7&lt;=#REF!+#REF!-1),1,""))</f>
        <v>#REF!</v>
      </c>
      <c r="BB63" s="71" t="e">
        <f aca="false">IF(AND(#REF!="Goal",BB$7&gt;=#REF!,BB$7&lt;=#REF!+#REF!-1),2,IF(AND(#REF!="Milestone",BB$7&gt;=#REF!,BB$7&lt;=#REF!+#REF!-1),1,""))</f>
        <v>#REF!</v>
      </c>
      <c r="BC63" s="71" t="e">
        <f aca="false">IF(AND(#REF!="Goal",BC$7&gt;=#REF!,BC$7&lt;=#REF!+#REF!-1),2,IF(AND(#REF!="Milestone",BC$7&gt;=#REF!,BC$7&lt;=#REF!+#REF!-1),1,""))</f>
        <v>#REF!</v>
      </c>
      <c r="BD63" s="71" t="e">
        <f aca="false">IF(AND(#REF!="Goal",BD$7&gt;=#REF!,BD$7&lt;=#REF!+#REF!-1),2,IF(AND(#REF!="Milestone",BD$7&gt;=#REF!,BD$7&lt;=#REF!+#REF!-1),1,""))</f>
        <v>#REF!</v>
      </c>
      <c r="BE63" s="71" t="e">
        <f aca="false">IF(AND(#REF!="Goal",BE$7&gt;=#REF!,BE$7&lt;=#REF!+#REF!-1),2,IF(AND(#REF!="Milestone",BE$7&gt;=#REF!,BE$7&lt;=#REF!+#REF!-1),1,""))</f>
        <v>#REF!</v>
      </c>
      <c r="BF63" s="71" t="e">
        <f aca="false">IF(AND(#REF!="Goal",BF$7&gt;=#REF!,BF$7&lt;=#REF!+#REF!-1),2,IF(AND(#REF!="Milestone",BF$7&gt;=#REF!,BF$7&lt;=#REF!+#REF!-1),1,""))</f>
        <v>#REF!</v>
      </c>
      <c r="BG63" s="71" t="e">
        <f aca="false">IF(AND(#REF!="Goal",BG$7&gt;=#REF!,BG$7&lt;=#REF!+#REF!-1),2,IF(AND(#REF!="Milestone",BG$7&gt;=#REF!,BG$7&lt;=#REF!+#REF!-1),1,""))</f>
        <v>#REF!</v>
      </c>
      <c r="BH63" s="71" t="e">
        <f aca="false">IF(AND(#REF!="Goal",BH$7&gt;=#REF!,BH$7&lt;=#REF!+#REF!-1),2,IF(AND(#REF!="Milestone",BH$7&gt;=#REF!,BH$7&lt;=#REF!+#REF!-1),1,""))</f>
        <v>#REF!</v>
      </c>
      <c r="BI63" s="71" t="e">
        <f aca="false">IF(AND(#REF!="Goal",BI$7&gt;=#REF!,BI$7&lt;=#REF!+#REF!-1),2,IF(AND(#REF!="Milestone",BI$7&gt;=#REF!,BI$7&lt;=#REF!+#REF!-1),1,""))</f>
        <v>#REF!</v>
      </c>
      <c r="BJ63" s="71" t="e">
        <f aca="false">IF(AND(#REF!="Goal",BJ$7&gt;=#REF!,BJ$7&lt;=#REF!+#REF!-1),2,IF(AND(#REF!="Milestone",BJ$7&gt;=#REF!,BJ$7&lt;=#REF!+#REF!-1),1,""))</f>
        <v>#REF!</v>
      </c>
      <c r="BK63" s="71" t="e">
        <f aca="false">IF(AND(#REF!="Goal",BK$7&gt;=#REF!,BK$7&lt;=#REF!+#REF!-1),2,IF(AND(#REF!="Milestone",BK$7&gt;=#REF!,BK$7&lt;=#REF!+#REF!-1),1,""))</f>
        <v>#REF!</v>
      </c>
      <c r="BL63" s="71" t="e">
        <f aca="false">IF(AND(#REF!="Goal",BL$7&gt;=#REF!,BL$7&lt;=#REF!+#REF!-1),2,IF(AND(#REF!="Milestone",BL$7&gt;=#REF!,BL$7&lt;=#REF!+#REF!-1),1,""))</f>
        <v>#REF!</v>
      </c>
      <c r="BM63" s="97"/>
    </row>
    <row r="64" customFormat="false" ht="30" hidden="false" customHeight="true" outlineLevel="0" collapsed="false">
      <c r="B64" s="73"/>
      <c r="C64" s="67"/>
      <c r="D64" s="67"/>
      <c r="E64" s="68"/>
      <c r="F64" s="69"/>
      <c r="G64" s="70"/>
      <c r="H64" s="98"/>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9"/>
      <c r="BD64" s="99"/>
      <c r="BE64" s="99"/>
      <c r="BF64" s="99"/>
      <c r="BG64" s="99"/>
      <c r="BH64" s="99"/>
      <c r="BI64" s="99"/>
      <c r="BJ64" s="99"/>
      <c r="BK64" s="99"/>
      <c r="BL64" s="99"/>
      <c r="BM64" s="25"/>
      <c r="BN64" s="25"/>
    </row>
    <row r="65" customFormat="false" ht="30" hidden="false" customHeight="true" outlineLevel="0" collapsed="false">
      <c r="B65" s="73"/>
      <c r="C65" s="67"/>
      <c r="D65" s="67"/>
      <c r="E65" s="68"/>
      <c r="F65" s="69"/>
      <c r="G65" s="70"/>
    </row>
    <row r="66" customFormat="false" ht="30" hidden="false" customHeight="true" outlineLevel="0" collapsed="false">
      <c r="B66" s="73"/>
      <c r="C66" s="67"/>
      <c r="D66" s="67"/>
      <c r="E66" s="68"/>
      <c r="F66" s="69"/>
      <c r="G66" s="70"/>
    </row>
    <row r="67" customFormat="false" ht="30" hidden="false" customHeight="true" outlineLevel="0" collapsed="false">
      <c r="B67" s="100"/>
      <c r="C67" s="67"/>
      <c r="D67" s="67"/>
      <c r="E67" s="68"/>
      <c r="F67" s="69"/>
      <c r="G67" s="70"/>
    </row>
    <row r="68" customFormat="false" ht="30" hidden="false" customHeight="true" outlineLevel="0" collapsed="false">
      <c r="B68" s="73"/>
      <c r="C68" s="67"/>
      <c r="D68" s="67"/>
      <c r="E68" s="68"/>
      <c r="F68" s="69"/>
      <c r="G68" s="70"/>
    </row>
    <row r="69" customFormat="false" ht="30" hidden="false" customHeight="true" outlineLevel="0" collapsed="false">
      <c r="B69" s="73"/>
      <c r="C69" s="67"/>
      <c r="D69" s="67"/>
      <c r="E69" s="68"/>
      <c r="F69" s="69"/>
      <c r="G69" s="70"/>
    </row>
    <row r="70" customFormat="false" ht="30" hidden="false" customHeight="true" outlineLevel="0" collapsed="false">
      <c r="B70" s="73"/>
      <c r="C70" s="67"/>
      <c r="D70" s="67"/>
      <c r="E70" s="68"/>
      <c r="F70" s="69"/>
      <c r="G70" s="70"/>
    </row>
    <row r="71" customFormat="false" ht="30" hidden="false" customHeight="true" outlineLevel="0" collapsed="false">
      <c r="B71" s="73"/>
      <c r="C71" s="67"/>
      <c r="D71" s="67"/>
      <c r="E71" s="68"/>
      <c r="F71" s="69"/>
      <c r="G71" s="70"/>
    </row>
    <row r="72" customFormat="false" ht="30" hidden="false" customHeight="true" outlineLevel="0" collapsed="false">
      <c r="B72" s="101"/>
      <c r="C72" s="67"/>
      <c r="D72" s="67"/>
      <c r="E72" s="68"/>
      <c r="F72" s="69"/>
      <c r="G72" s="70"/>
    </row>
    <row r="73" customFormat="false" ht="30" hidden="false" customHeight="true" outlineLevel="0" collapsed="false">
      <c r="B73" s="102"/>
      <c r="C73" s="67"/>
      <c r="D73" s="67"/>
      <c r="E73" s="29"/>
      <c r="F73" s="69"/>
      <c r="G73" s="70"/>
    </row>
    <row r="74" customFormat="false" ht="30" hidden="false" customHeight="true" outlineLevel="0" collapsed="false">
      <c r="D74" s="103"/>
      <c r="G74" s="104"/>
    </row>
    <row r="75" customFormat="false" ht="30" hidden="false" customHeight="true" outlineLevel="0" collapsed="false">
      <c r="D75" s="105"/>
    </row>
  </sheetData>
  <mergeCells count="8">
    <mergeCell ref="B2:H2"/>
    <mergeCell ref="I2:N2"/>
    <mergeCell ref="O2:T2"/>
    <mergeCell ref="I4:L4"/>
    <mergeCell ref="N4:Q4"/>
    <mergeCell ref="S4:V4"/>
    <mergeCell ref="X4:AA4"/>
    <mergeCell ref="AC4:AF4"/>
  </mergeCells>
  <conditionalFormatting sqref="E12:E59">
    <cfRule type="dataBar" priority="2">
      <dataBar showValue="1" minLength="10" maxLength="90">
        <cfvo type="num" val="0"/>
        <cfvo type="num" val="1"/>
        <color rgb="FF20A472"/>
      </dataBar>
      <extLst>
        <ext xmlns:x14="http://schemas.microsoft.com/office/spreadsheetml/2009/9/main" uri="{B025F937-C7B1-47D3-B67F-A62EFF666E3E}">
          <x14:id>{BB60329D-B9B6-4820-BA70-4DD9603445B1}</x14:id>
        </ext>
      </extLst>
    </cfRule>
  </conditionalFormatting>
  <conditionalFormatting sqref="I7:BL8 I64:BL64">
    <cfRule type="expression" priority="3" aboveAverage="0" equalAverage="0" bottom="0" percent="0" rank="0" text="" dxfId="5">
      <formula>AND(TODAY()&gt;=I$7,TODAY()&lt;J$7)</formula>
    </cfRule>
  </conditionalFormatting>
  <conditionalFormatting sqref="I6:BM6">
    <cfRule type="expression" priority="4" aboveAverage="0" equalAverage="0" bottom="0" percent="0" rank="0" text="" dxfId="6">
      <formula>AND(I$7&lt;=EOMONTH($I$7,1),I$7&gt;EOMONTH($I$7,0))</formula>
    </cfRule>
  </conditionalFormatting>
  <conditionalFormatting sqref="J6:BM6">
    <cfRule type="expression" priority="5" aboveAverage="0" equalAverage="0" bottom="0" percent="0" rank="0" text="" dxfId="7">
      <formula>AND(J$7&lt;=EOMONTH($I$7,2),J$7&gt;EOMONTH($I$7,0),J$7&gt;EOMONTH($I$7,1))</formula>
    </cfRule>
  </conditionalFormatting>
  <conditionalFormatting sqref="I6:AM6">
    <cfRule type="expression" priority="6" aboveAverage="0" equalAverage="0" bottom="0" percent="0" rank="0" text="" dxfId="8">
      <formula>I$7&lt;=EOMONTH($I$7,0)</formula>
    </cfRule>
  </conditionalFormatting>
  <conditionalFormatting sqref="E9:E11 E60:E73">
    <cfRule type="dataBar" priority="7">
      <dataBar showValue="1" minLength="10" maxLength="90">
        <cfvo type="num" val="0"/>
        <cfvo type="num" val="1"/>
        <color rgb="FF20A472"/>
      </dataBar>
      <extLst>
        <ext xmlns:x14="http://schemas.microsoft.com/office/spreadsheetml/2009/9/main" uri="{B025F937-C7B1-47D3-B67F-A62EFF666E3E}">
          <x14:id>{9B3582BA-D077-4C13-B57B-AEE81840695A}</x14:id>
        </ext>
      </extLst>
    </cfRule>
  </conditionalFormatting>
  <conditionalFormatting sqref="I64:BL64">
    <cfRule type="expression" priority="9" aboveAverage="0" equalAverage="0" bottom="0" percent="0" rank="0" text="" dxfId="9">
      <formula>AND(#ref!="Low Risk",I$7&gt;=#ref!,I$7&lt;=#ref!+#ref!-1)</formula>
    </cfRule>
    <cfRule type="expression" priority="10" aboveAverage="0" equalAverage="0" bottom="0" percent="0" rank="0" text="" dxfId="10">
      <formula>AND(#ref!="High Risk",I$7&gt;=#ref!,I$7&lt;=#ref!+#ref!-1)</formula>
    </cfRule>
    <cfRule type="expression" priority="11" aboveAverage="0" equalAverage="0" bottom="0" percent="0" rank="0" text="" dxfId="11">
      <formula>AND(#ref!="On Track",I$7&gt;=#ref!,I$7&lt;=#ref!+#ref!-1)</formula>
    </cfRule>
    <cfRule type="expression" priority="12" aboveAverage="0" equalAverage="0" bottom="0" percent="0" rank="0" text="" dxfId="12">
      <formula>AND(#ref!="Med Risk",I$7&gt;=#ref!,I$7&lt;=#ref!+#ref!-1)</formula>
    </cfRule>
    <cfRule type="expression" priority="13" aboveAverage="0" equalAverage="0" bottom="0" percent="0" rank="0" text="" dxfId="13">
      <formula>AND(LEN(#ref!)=0,I$7&gt;=#ref!,I$7&lt;=#ref!+#ref!-1)</formula>
    </cfRule>
  </conditionalFormatting>
  <conditionalFormatting sqref="I63:BL63">
    <cfRule type="expression" priority="15" aboveAverage="0" equalAverage="0" bottom="0" percent="0" rank="0" text="" dxfId="14">
      <formula>AND(#ref!="Low Risk",I$7&gt;=#ref!,I$7&lt;=#ref!+#ref!-1)</formula>
    </cfRule>
    <cfRule type="expression" priority="16" aboveAverage="0" equalAverage="0" bottom="0" percent="0" rank="0" text="" dxfId="15">
      <formula>AND(#ref!="High Risk",I$7&gt;=#ref!,I$7&lt;=#ref!+#ref!-1)</formula>
    </cfRule>
    <cfRule type="expression" priority="17" aboveAverage="0" equalAverage="0" bottom="0" percent="0" rank="0" text="" dxfId="16">
      <formula>AND(#ref!="On Track",I$7&gt;=#ref!,I$7&lt;=#ref!+#ref!-1)</formula>
    </cfRule>
    <cfRule type="expression" priority="18" aboveAverage="0" equalAverage="0" bottom="0" percent="0" rank="0" text="" dxfId="17">
      <formula>AND(#ref!="Med Risk",I$7&gt;=#ref!,I$7&lt;=#ref!+#ref!-1)</formula>
    </cfRule>
    <cfRule type="expression" priority="19" aboveAverage="0" equalAverage="0" bottom="0" percent="0" rank="0" text="" dxfId="18">
      <formula>AND(LEN(#ref!)=0,I$7&gt;=#ref!,I$7&lt;=#ref!+#ref!-1)</formula>
    </cfRule>
  </conditionalFormatting>
  <conditionalFormatting sqref="I37:BL37">
    <cfRule type="expression" priority="21" aboveAverage="0" equalAverage="0" bottom="0" percent="0" rank="0" text="" dxfId="19">
      <formula>AND(#ref!="Low Risk",I$7&gt;=#ref!,I$7&lt;=#ref!+#ref!-1)</formula>
    </cfRule>
    <cfRule type="expression" priority="22" aboveAverage="0" equalAverage="0" bottom="0" percent="0" rank="0" text="" dxfId="20">
      <formula>AND(#ref!="High Risk",I$7&gt;=#ref!,I$7&lt;=#ref!+#ref!-1)</formula>
    </cfRule>
    <cfRule type="expression" priority="23" aboveAverage="0" equalAverage="0" bottom="0" percent="0" rank="0" text="" dxfId="21">
      <formula>AND(#ref!="On Track",I$7&gt;=#ref!,I$7&lt;=#ref!+#ref!-1)</formula>
    </cfRule>
    <cfRule type="expression" priority="24" aboveAverage="0" equalAverage="0" bottom="0" percent="0" rank="0" text="" dxfId="22">
      <formula>AND(#ref!="Med Risk",I$7&gt;=#ref!,I$7&lt;=#ref!+#ref!-1)</formula>
    </cfRule>
    <cfRule type="expression" priority="25" aboveAverage="0" equalAverage="0" bottom="0" percent="0" rank="0" text="" dxfId="23">
      <formula>AND(LEN(#ref!)=0,I$7&gt;=#ref!,I$7&lt;=#ref!+#ref!-1)</formula>
    </cfRule>
  </conditionalFormatting>
  <conditionalFormatting sqref="I9:BL63">
    <cfRule type="expression" priority="26" aboveAverage="0" equalAverage="0" bottom="0" percent="0" rank="0" text="" dxfId="24">
      <formula>AND(TODAY()&gt;=I$7,TODAY()&lt;J$7)</formula>
    </cfRule>
  </conditionalFormatting>
  <conditionalFormatting sqref="I10:BL13 I17:BL22">
    <cfRule type="expression" priority="27" aboveAverage="0" equalAverage="0" bottom="0" percent="0" rank="0" text="" dxfId="25">
      <formula>AND($C10="Low Risk",I$7&gt;=$F10,I$7&lt;=$F10+$G10-1)</formula>
    </cfRule>
    <cfRule type="expression" priority="28" aboveAverage="0" equalAverage="0" bottom="0" percent="0" rank="0" text="" dxfId="26">
      <formula>AND($C10="High Risk",I$7&gt;=$F10,I$7&lt;=$F10+$G10-1)</formula>
    </cfRule>
    <cfRule type="expression" priority="29" aboveAverage="0" equalAverage="0" bottom="0" percent="0" rank="0" text="" dxfId="27">
      <formula>AND($C10="On Track",I$7&gt;=$F10,I$7&lt;=$F10+$G10-1)</formula>
    </cfRule>
    <cfRule type="expression" priority="30" aboveAverage="0" equalAverage="0" bottom="0" percent="0" rank="0" text="" dxfId="28">
      <formula>AND($C10="Med Risk",I$7&gt;=$F10,I$7&lt;=$F10+$G10-1)</formula>
    </cfRule>
    <cfRule type="expression" priority="31" aboveAverage="0" equalAverage="0" bottom="0" percent="0" rank="0" text="" dxfId="29">
      <formula>AND(LEN($C10)=0,I$7&gt;=$F10,I$7&lt;=$F10+$G10-1)</formula>
    </cfRule>
  </conditionalFormatting>
  <conditionalFormatting sqref="I14:BL16">
    <cfRule type="expression" priority="33" aboveAverage="0" equalAverage="0" bottom="0" percent="0" rank="0" text="" dxfId="30">
      <formula>AND($C14="Low Risk",I$7&gt;=$F14,I$7&lt;=$F14+$G14-1)</formula>
    </cfRule>
    <cfRule type="expression" priority="34" aboveAverage="0" equalAverage="0" bottom="0" percent="0" rank="0" text="" dxfId="31">
      <formula>AND($C14="High Risk",I$7&gt;=$F14,I$7&lt;=$F14+$G14-1)</formula>
    </cfRule>
    <cfRule type="expression" priority="35" aboveAverage="0" equalAverage="0" bottom="0" percent="0" rank="0" text="" dxfId="32">
      <formula>AND($C14="On Track",I$7&gt;=$F14,I$7&lt;=$F14+$G14-1)</formula>
    </cfRule>
    <cfRule type="expression" priority="36" aboveAverage="0" equalAverage="0" bottom="0" percent="0" rank="0" text="" dxfId="33">
      <formula>AND($C14="Med Risk",I$7&gt;=$F14,I$7&lt;=$F14+$G14-1)</formula>
    </cfRule>
    <cfRule type="expression" priority="37" aboveAverage="0" equalAverage="0" bottom="0" percent="0" rank="0" text="" dxfId="34">
      <formula>AND(LEN($C14)=0,I$7&gt;=$F14,I$7&lt;=$F14+$G14-1)</formula>
    </cfRule>
  </conditionalFormatting>
  <conditionalFormatting sqref="I23:BL28">
    <cfRule type="expression" priority="38" aboveAverage="0" equalAverage="0" bottom="0" percent="0" rank="0" text="" dxfId="35">
      <formula>AND($C29="Low Risk",I$7&gt;=$F29,I$7&lt;=$F29+$G29-1)</formula>
    </cfRule>
    <cfRule type="expression" priority="39" aboveAverage="0" equalAverage="0" bottom="0" percent="0" rank="0" text="" dxfId="36">
      <formula>AND($C29="High Risk",I$7&gt;=$F29,I$7&lt;=$F29+$G29-1)</formula>
    </cfRule>
    <cfRule type="expression" priority="40" aboveAverage="0" equalAverage="0" bottom="0" percent="0" rank="0" text="" dxfId="37">
      <formula>AND($C29="On Track",I$7&gt;=$F29,I$7&lt;=$F29+$G29-1)</formula>
    </cfRule>
    <cfRule type="expression" priority="41" aboveAverage="0" equalAverage="0" bottom="0" percent="0" rank="0" text="" dxfId="38">
      <formula>AND($C29="Med Risk",I$7&gt;=$F29,I$7&lt;=$F29+$G29-1)</formula>
    </cfRule>
    <cfRule type="expression" priority="42" aboveAverage="0" equalAverage="0" bottom="0" percent="0" rank="0" text="" dxfId="39">
      <formula>AND(LEN($C29)=0,I$7&gt;=$F29,I$7&lt;=$F29+$G29-1)</formula>
    </cfRule>
  </conditionalFormatting>
  <conditionalFormatting sqref="I29:BL34">
    <cfRule type="expression" priority="43" aboveAverage="0" equalAverage="0" bottom="0" percent="0" rank="0" text="" dxfId="40">
      <formula>AND($C36="Low Risk",I$7&gt;=$F36,I$7&lt;=$F36+$G36-1)</formula>
    </cfRule>
    <cfRule type="expression" priority="44" aboveAverage="0" equalAverage="0" bottom="0" percent="0" rank="0" text="" dxfId="41">
      <formula>AND($C36="High Risk",I$7&gt;=$F36,I$7&lt;=$F36+$G36-1)</formula>
    </cfRule>
    <cfRule type="expression" priority="45" aboveAverage="0" equalAverage="0" bottom="0" percent="0" rank="0" text="" dxfId="42">
      <formula>AND($C36="On Track",I$7&gt;=$F36,I$7&lt;=$F36+$G36-1)</formula>
    </cfRule>
    <cfRule type="expression" priority="46" aboveAverage="0" equalAverage="0" bottom="0" percent="0" rank="0" text="" dxfId="43">
      <formula>AND($C36="Med Risk",I$7&gt;=$F36,I$7&lt;=$F36+$G36-1)</formula>
    </cfRule>
    <cfRule type="expression" priority="47" aboveAverage="0" equalAverage="0" bottom="0" percent="0" rank="0" text="" dxfId="44">
      <formula>AND(LEN($C36)=0,I$7&gt;=$F36,I$7&lt;=$F36+$G36-1)</formula>
    </cfRule>
  </conditionalFormatting>
  <conditionalFormatting sqref="I35:BL36 I38:BL62">
    <cfRule type="expression" priority="48" aboveAverage="0" equalAverage="0" bottom="0" percent="0" rank="0" text="" dxfId="45">
      <formula>AND($C45="Low Risk",I$7&gt;=$F45,I$7&lt;=$F45+$G45-1)</formula>
    </cfRule>
    <cfRule type="expression" priority="49" aboveAverage="0" equalAverage="0" bottom="0" percent="0" rank="0" text="" dxfId="46">
      <formula>AND($C45="High Risk",I$7&gt;=$F45,I$7&lt;=$F45+$G45-1)</formula>
    </cfRule>
    <cfRule type="expression" priority="50" aboveAverage="0" equalAverage="0" bottom="0" percent="0" rank="0" text="" dxfId="47">
      <formula>AND($C45="On Track",I$7&gt;=$F45,I$7&lt;=$F45+$G45-1)</formula>
    </cfRule>
    <cfRule type="expression" priority="51" aboveAverage="0" equalAverage="0" bottom="0" percent="0" rank="0" text="" dxfId="48">
      <formula>AND($C45="Med Risk",I$7&gt;=$F45,I$7&lt;=$F45+$G45-1)</formula>
    </cfRule>
    <cfRule type="expression" priority="52" aboveAverage="0" equalAverage="0" bottom="0" percent="0" rank="0" text="" dxfId="49">
      <formula>AND(LEN($C45)=0,I$7&gt;=$F45,I$7&lt;=$F45+$G45-1)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72"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63" type="none">
      <formula1>0</formula1>
      <formula2>0</formula2>
    </dataValidation>
    <dataValidation allowBlank="true" errorStyle="stop" operator="between" prompt="This is an empty row" showDropDown="false" showErrorMessage="true" showInputMessage="true" sqref="A62"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extLst>
    <ext xmlns:x14="http://schemas.microsoft.com/office/spreadsheetml/2009/9/main" uri="{78C0D931-6437-407d-A8EE-F0AAD7539E65}">
      <x14:conditionalFormattings>
        <x14:conditionalFormatting xmlns:xm="http://schemas.microsoft.com/office/excel/2006/main">
          <x14:cfRule type="dataBar" id="{BB60329D-B9B6-4820-BA70-4DD9603445B1}">
            <x14:dataBar minLength="10" maxLength="90" axisPosition="automatic" gradient="false">
              <x14:cfvo type="num">
                <xm:f>0</xm:f>
              </x14:cfvo>
              <x14:cfvo type="num">
                <xm:f>1</xm:f>
              </x14:cfvo>
              <x14:negativeFillColor rgb="FFFF0000"/>
              <x14:axisColor rgb="FF000000"/>
            </x14:dataBar>
          </x14:cfRule>
          <xm:sqref>E12:E59</xm:sqref>
        </x14:conditionalFormatting>
        <x14:conditionalFormatting xmlns:xm="http://schemas.microsoft.com/office/excel/2006/main">
          <x14:cfRule type="dataBar" id="{9B3582BA-D077-4C13-B57B-AEE81840695A}">
            <x14:dataBar minLength="10" maxLength="90" axisPosition="automatic" gradient="false">
              <x14:cfvo type="num">
                <xm:f>0</xm:f>
              </x14:cfvo>
              <x14:cfvo type="num">
                <xm:f>1</xm:f>
              </x14:cfvo>
              <x14:negativeFillColor rgb="FFFF0000"/>
              <x14:axisColor rgb="FF000000"/>
            </x14:dataBar>
          </x14:cfRule>
          <xm:sqref>E9:E11 E60:E73</xm:sqref>
        </x14:conditionalFormatting>
        <x14:conditionalFormatting xmlns:xm="http://schemas.microsoft.com/office/excel/2006/main">
          <x14:cfRule type="iconSet" priority="8" id="{A58AAE6C-E553-46A3-BC3D-C0909887F558}">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I64:BL64</xm:sqref>
        </x14:conditionalFormatting>
        <x14:conditionalFormatting xmlns:xm="http://schemas.microsoft.com/office/excel/2006/main">
          <x14:cfRule type="iconSet" priority="14" id="{E2E1316E-C285-448F-A4DD-BA90C5852235}">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I63:BL63</xm:sqref>
        </x14:conditionalFormatting>
        <x14:conditionalFormatting xmlns:xm="http://schemas.microsoft.com/office/excel/2006/main">
          <x14:cfRule type="iconSet" priority="20" id="{A384ECCB-28CA-4DEC-8F80-F6445ABAC0E2}">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I37:BL37</xm:sqref>
        </x14:conditionalFormatting>
        <x14:conditionalFormatting xmlns:xm="http://schemas.microsoft.com/office/excel/2006/main">
          <x14:cfRule type="iconSet" priority="32" id="{878ADCAC-D037-4F38-97C4-51DCFCDF8680}">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I14:BL16</xm:sqref>
        </x14:conditionalFormatting>
        <x14:conditionalFormatting xmlns:xm="http://schemas.microsoft.com/office/excel/2006/main">
          <x14:cfRule type="iconSet" priority="53" id="{80CDABE2-AD68-4A16-83BA-9D3A74E49BC0}">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I10:BL13</xm:sqref>
        </x14:conditionalFormatting>
        <x14:conditionalFormatting xmlns:xm="http://schemas.microsoft.com/office/excel/2006/main">
          <x14:cfRule type="iconSet" priority="54" id="{D0C54AF8-2C4F-4A32-9D77-D1AAF593985C}">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I17:BL36</xm:sqref>
        </x14:conditionalFormatting>
        <x14:conditionalFormatting xmlns:xm="http://schemas.microsoft.com/office/excel/2006/main">
          <x14:cfRule type="iconSet" priority="55" id="{716D9C1E-31D0-4C57-A162-E0B95979E360}">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I38:BL62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30" zeroHeight="false" outlineLevelRow="0" outlineLevelCol="0"/>
  <cols>
    <col collapsed="false" customWidth="true" hidden="false" outlineLevel="0" max="1" min="1" style="13" width="4.83"/>
    <col collapsed="false" customWidth="true" hidden="false" outlineLevel="0" max="2" min="2" style="0" width="30.83"/>
    <col collapsed="false" customWidth="true" hidden="false" outlineLevel="0" max="3" min="3" style="0" width="13.5"/>
    <col collapsed="false" customWidth="true" hidden="false" outlineLevel="0" max="4" min="4" style="0" width="20.5"/>
    <col collapsed="false" customWidth="true" hidden="false" outlineLevel="0" max="5" min="5" style="0" width="15.83"/>
    <col collapsed="false" customWidth="true" hidden="false" outlineLevel="0" max="6" min="6" style="14" width="10.5"/>
    <col collapsed="false" customWidth="true" hidden="false" outlineLevel="0" max="7" min="7" style="0" width="10.5"/>
    <col collapsed="false" customWidth="true" hidden="false" outlineLevel="0" max="8" min="8" style="0" width="2.5"/>
    <col collapsed="false" customWidth="true" hidden="false" outlineLevel="0" max="64" min="9" style="0" width="3.5"/>
    <col collapsed="false" customWidth="true" hidden="false" outlineLevel="0" max="65" min="65" style="0" width="2.5"/>
  </cols>
  <sheetData>
    <row r="1" customFormat="false" ht="24.75" hidden="false" customHeight="true" outlineLevel="0" collapsed="false"/>
    <row r="2" customFormat="false" ht="49.5" hidden="false" customHeight="true" outlineLevel="0" collapsed="false">
      <c r="A2" s="15"/>
      <c r="B2" s="106" t="s">
        <v>75</v>
      </c>
      <c r="C2" s="106"/>
      <c r="D2" s="106"/>
      <c r="E2" s="106"/>
      <c r="F2" s="106"/>
      <c r="G2" s="106"/>
      <c r="H2" s="106"/>
      <c r="I2" s="107"/>
      <c r="J2" s="107"/>
      <c r="K2" s="107"/>
      <c r="L2" s="107"/>
      <c r="M2" s="107"/>
      <c r="N2" s="107"/>
      <c r="O2" s="108"/>
      <c r="P2" s="108"/>
      <c r="Q2" s="108"/>
      <c r="R2" s="108"/>
      <c r="S2" s="108"/>
      <c r="T2" s="108"/>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row>
    <row r="3" customFormat="false" ht="19.5" hidden="false" customHeight="true" outlineLevel="0" collapsed="false">
      <c r="A3" s="15"/>
      <c r="B3" s="110"/>
      <c r="C3" s="111"/>
      <c r="D3" s="112"/>
      <c r="E3" s="112"/>
      <c r="F3" s="113"/>
      <c r="G3" s="114"/>
      <c r="H3" s="114"/>
      <c r="I3" s="115"/>
      <c r="J3" s="114"/>
      <c r="K3" s="114"/>
      <c r="L3" s="114"/>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row>
    <row r="4" customFormat="false" ht="30" hidden="false" customHeight="true" outlineLevel="0" collapsed="false">
      <c r="A4" s="15"/>
      <c r="B4" s="117" t="s">
        <v>76</v>
      </c>
      <c r="C4" s="118"/>
      <c r="D4" s="119"/>
      <c r="E4" s="120"/>
      <c r="F4" s="121"/>
      <c r="G4" s="122" t="s">
        <v>5</v>
      </c>
      <c r="H4" s="120"/>
      <c r="I4" s="32" t="s">
        <v>6</v>
      </c>
      <c r="J4" s="32"/>
      <c r="K4" s="32"/>
      <c r="L4" s="32"/>
      <c r="M4" s="116"/>
      <c r="N4" s="33" t="s">
        <v>7</v>
      </c>
      <c r="O4" s="33"/>
      <c r="P4" s="33"/>
      <c r="Q4" s="33"/>
      <c r="R4" s="116"/>
      <c r="S4" s="34" t="s">
        <v>8</v>
      </c>
      <c r="T4" s="34"/>
      <c r="U4" s="34"/>
      <c r="V4" s="34"/>
      <c r="W4" s="116"/>
      <c r="X4" s="35" t="s">
        <v>9</v>
      </c>
      <c r="Y4" s="35"/>
      <c r="Z4" s="35"/>
      <c r="AA4" s="35"/>
      <c r="AB4" s="116"/>
      <c r="AC4" s="36" t="s">
        <v>10</v>
      </c>
      <c r="AD4" s="36"/>
      <c r="AE4" s="36"/>
      <c r="AF4" s="3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row>
    <row r="5" customFormat="false" ht="30" hidden="false" customHeight="true" outlineLevel="0" collapsed="false">
      <c r="A5" s="15"/>
      <c r="B5" s="123" t="s">
        <v>77</v>
      </c>
      <c r="C5" s="124"/>
      <c r="D5" s="124"/>
      <c r="E5" s="116"/>
      <c r="F5" s="125"/>
      <c r="G5" s="116"/>
      <c r="H5" s="120"/>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row>
    <row r="6" customFormat="false" ht="30" hidden="false" customHeight="true" outlineLevel="0" collapsed="false">
      <c r="A6" s="15"/>
      <c r="B6" s="126" t="s">
        <v>11</v>
      </c>
      <c r="C6" s="127" t="e">
        <f aca="false" t="array" ref="C6:C6">IFERROR(IF(MIN(Milestones435[Start])=0,TODAY(),B11(Milestones435[Start])),TODAY())</f>
        <v>#VALUE!</v>
      </c>
      <c r="D6" s="128"/>
      <c r="E6" s="116"/>
      <c r="F6" s="125"/>
      <c r="G6" s="116"/>
      <c r="H6" s="120"/>
      <c r="I6" s="129" t="str">
        <f aca="false">TEXT(I7,"mmmm")</f>
        <v>November</v>
      </c>
      <c r="J6" s="130"/>
      <c r="K6" s="130"/>
      <c r="L6" s="130"/>
      <c r="M6" s="130"/>
      <c r="N6" s="130"/>
      <c r="O6" s="130"/>
      <c r="P6" s="130" t="str">
        <f aca="false">IF(TEXT(P7,"mmmm")=I6,"",TEXT(P7,"mmmm"))</f>
        <v/>
      </c>
      <c r="Q6" s="130"/>
      <c r="R6" s="130"/>
      <c r="S6" s="130"/>
      <c r="T6" s="130"/>
      <c r="U6" s="130"/>
      <c r="V6" s="130"/>
      <c r="W6" s="130" t="str">
        <f aca="false">IF(OR(TEXT(W7,"mmmm")=P6,TEXT(W7,"mmmm")=I6),"",TEXT(W7,"mmmm"))</f>
        <v/>
      </c>
      <c r="X6" s="130"/>
      <c r="Y6" s="130"/>
      <c r="Z6" s="130"/>
      <c r="AA6" s="130"/>
      <c r="AB6" s="130"/>
      <c r="AC6" s="130"/>
      <c r="AD6" s="130" t="str">
        <f aca="false">IF(OR(TEXT(AD7,"mmmm")=W6,TEXT(AD7,"mmmm")=P6,TEXT(AD7,"mmmm")=I6),"",TEXT(AD7,"mmmm"))</f>
        <v/>
      </c>
      <c r="AE6" s="130"/>
      <c r="AF6" s="130"/>
      <c r="AG6" s="130"/>
      <c r="AH6" s="130"/>
      <c r="AI6" s="130"/>
      <c r="AJ6" s="130"/>
      <c r="AK6" s="130" t="str">
        <f aca="false">IF(OR(TEXT(AK7,"mmmm")=AD6,TEXT(AK7,"mmmm")=W6,TEXT(AK7,"mmmm")=P6,TEXT(AK7,"mmmm")=I6),"",TEXT(AK7,"mmmm"))</f>
        <v>December</v>
      </c>
      <c r="AL6" s="130"/>
      <c r="AM6" s="130"/>
      <c r="AN6" s="130"/>
      <c r="AO6" s="130"/>
      <c r="AP6" s="130"/>
      <c r="AQ6" s="130"/>
      <c r="AR6" s="130" t="str">
        <f aca="false">IF(OR(TEXT(AR7,"mmmm")=AK6,TEXT(AR7,"mmmm")=AD6,TEXT(AR7,"mmmm")=W6,TEXT(AR7,"mmmm")=P6),"",TEXT(AR7,"mmmm"))</f>
        <v/>
      </c>
      <c r="AS6" s="130"/>
      <c r="AT6" s="130"/>
      <c r="AU6" s="130"/>
      <c r="AV6" s="130"/>
      <c r="AW6" s="130"/>
      <c r="AX6" s="130"/>
      <c r="AY6" s="130" t="str">
        <f aca="false">IF(OR(TEXT(AY7,"mmmm")=AR6,TEXT(AY7,"mmmm")=AK6,TEXT(AY7,"mmmm")=AD6,TEXT(AY7,"mmmm")=W6),"",TEXT(AY7,"mmmm"))</f>
        <v/>
      </c>
      <c r="AZ6" s="130"/>
      <c r="BA6" s="130"/>
      <c r="BB6" s="131"/>
      <c r="BC6" s="132"/>
      <c r="BD6" s="132"/>
      <c r="BE6" s="132"/>
      <c r="BF6" s="132" t="str">
        <f aca="false">IF(OR(TEXT(BF7,"mmmm")=AY6,TEXT(BF7,"mmmm")=AR6,TEXT(BF7,"mmmm")=AK6,TEXT(BF7,"mmmm")=AD6),"",TEXT(BF7,"mmmm"))</f>
        <v/>
      </c>
      <c r="BG6" s="132"/>
      <c r="BH6" s="132"/>
      <c r="BI6" s="132"/>
      <c r="BJ6" s="132"/>
      <c r="BK6" s="132"/>
      <c r="BL6" s="132"/>
      <c r="BM6" s="116"/>
    </row>
    <row r="7" customFormat="false" ht="30" hidden="false" customHeight="true" outlineLevel="0" collapsed="false">
      <c r="A7" s="15"/>
      <c r="B7" s="126" t="s">
        <v>78</v>
      </c>
      <c r="C7" s="133" t="n">
        <v>5</v>
      </c>
      <c r="D7" s="124"/>
      <c r="E7" s="120"/>
      <c r="F7" s="120"/>
      <c r="G7" s="120"/>
      <c r="H7" s="120"/>
      <c r="I7" s="134" t="n">
        <f aca="true">IFERROR(Project_Start+Scrolling_Increment,TODAY())</f>
        <v>45965</v>
      </c>
      <c r="J7" s="135" t="n">
        <f aca="false">I7+1</f>
        <v>45966</v>
      </c>
      <c r="K7" s="135" t="n">
        <f aca="false">J7+1</f>
        <v>45967</v>
      </c>
      <c r="L7" s="135" t="n">
        <f aca="false">K7+1</f>
        <v>45968</v>
      </c>
      <c r="M7" s="135" t="n">
        <f aca="false">L7+1</f>
        <v>45969</v>
      </c>
      <c r="N7" s="135" t="n">
        <f aca="false">M7+1</f>
        <v>45970</v>
      </c>
      <c r="O7" s="136" t="n">
        <f aca="false">N7+1</f>
        <v>45971</v>
      </c>
      <c r="P7" s="135" t="n">
        <f aca="false">O7+1</f>
        <v>45972</v>
      </c>
      <c r="Q7" s="135" t="n">
        <f aca="false">P7+1</f>
        <v>45973</v>
      </c>
      <c r="R7" s="135" t="n">
        <f aca="false">Q7+1</f>
        <v>45974</v>
      </c>
      <c r="S7" s="135" t="n">
        <f aca="false">R7+1</f>
        <v>45975</v>
      </c>
      <c r="T7" s="135" t="n">
        <f aca="false">S7+1</f>
        <v>45976</v>
      </c>
      <c r="U7" s="135" t="n">
        <f aca="false">T7+1</f>
        <v>45977</v>
      </c>
      <c r="V7" s="136" t="n">
        <f aca="false">U7+1</f>
        <v>45978</v>
      </c>
      <c r="W7" s="135" t="n">
        <f aca="false">V7+1</f>
        <v>45979</v>
      </c>
      <c r="X7" s="135" t="n">
        <f aca="false">W7+1</f>
        <v>45980</v>
      </c>
      <c r="Y7" s="135" t="n">
        <f aca="false">X7+1</f>
        <v>45981</v>
      </c>
      <c r="Z7" s="135" t="n">
        <f aca="false">Y7+1</f>
        <v>45982</v>
      </c>
      <c r="AA7" s="135" t="n">
        <f aca="false">Z7+1</f>
        <v>45983</v>
      </c>
      <c r="AB7" s="135" t="n">
        <f aca="false">AA7+1</f>
        <v>45984</v>
      </c>
      <c r="AC7" s="136" t="n">
        <f aca="false">AB7+1</f>
        <v>45985</v>
      </c>
      <c r="AD7" s="135" t="n">
        <f aca="false">AC7+1</f>
        <v>45986</v>
      </c>
      <c r="AE7" s="135" t="n">
        <f aca="false">AD7+1</f>
        <v>45987</v>
      </c>
      <c r="AF7" s="135" t="n">
        <f aca="false">AE7+1</f>
        <v>45988</v>
      </c>
      <c r="AG7" s="135" t="n">
        <f aca="false">AF7+1</f>
        <v>45989</v>
      </c>
      <c r="AH7" s="135" t="n">
        <f aca="false">AG7+1</f>
        <v>45990</v>
      </c>
      <c r="AI7" s="135" t="n">
        <f aca="false">AH7+1</f>
        <v>45991</v>
      </c>
      <c r="AJ7" s="136" t="n">
        <f aca="false">AI7+1</f>
        <v>45992</v>
      </c>
      <c r="AK7" s="135" t="n">
        <f aca="false">AJ7+1</f>
        <v>45993</v>
      </c>
      <c r="AL7" s="135" t="n">
        <f aca="false">AK7+1</f>
        <v>45994</v>
      </c>
      <c r="AM7" s="135" t="n">
        <f aca="false">AL7+1</f>
        <v>45995</v>
      </c>
      <c r="AN7" s="135" t="n">
        <f aca="false">AM7+1</f>
        <v>45996</v>
      </c>
      <c r="AO7" s="135" t="n">
        <f aca="false">AN7+1</f>
        <v>45997</v>
      </c>
      <c r="AP7" s="135" t="n">
        <f aca="false">AO7+1</f>
        <v>45998</v>
      </c>
      <c r="AQ7" s="136" t="n">
        <f aca="false">AP7+1</f>
        <v>45999</v>
      </c>
      <c r="AR7" s="135" t="n">
        <f aca="false">AQ7+1</f>
        <v>46000</v>
      </c>
      <c r="AS7" s="135" t="n">
        <f aca="false">AR7+1</f>
        <v>46001</v>
      </c>
      <c r="AT7" s="135" t="n">
        <f aca="false">AS7+1</f>
        <v>46002</v>
      </c>
      <c r="AU7" s="135" t="n">
        <f aca="false">AT7+1</f>
        <v>46003</v>
      </c>
      <c r="AV7" s="135" t="n">
        <f aca="false">AU7+1</f>
        <v>46004</v>
      </c>
      <c r="AW7" s="135" t="n">
        <f aca="false">AV7+1</f>
        <v>46005</v>
      </c>
      <c r="AX7" s="136" t="n">
        <f aca="false">AW7+1</f>
        <v>46006</v>
      </c>
      <c r="AY7" s="135" t="n">
        <f aca="false">AX7+1</f>
        <v>46007</v>
      </c>
      <c r="AZ7" s="135" t="n">
        <f aca="false">AY7+1</f>
        <v>46008</v>
      </c>
      <c r="BA7" s="135" t="n">
        <f aca="false">AZ7+1</f>
        <v>46009</v>
      </c>
      <c r="BB7" s="135" t="n">
        <f aca="false">BA7+1</f>
        <v>46010</v>
      </c>
      <c r="BC7" s="135" t="n">
        <f aca="false">BB7+1</f>
        <v>46011</v>
      </c>
      <c r="BD7" s="135" t="n">
        <f aca="false">BC7+1</f>
        <v>46012</v>
      </c>
      <c r="BE7" s="136" t="n">
        <f aca="false">BD7+1</f>
        <v>46013</v>
      </c>
      <c r="BF7" s="135" t="n">
        <f aca="false">BE7+1</f>
        <v>46014</v>
      </c>
      <c r="BG7" s="135" t="n">
        <f aca="false">BF7+1</f>
        <v>46015</v>
      </c>
      <c r="BH7" s="135" t="n">
        <f aca="false">BG7+1</f>
        <v>46016</v>
      </c>
      <c r="BI7" s="135" t="n">
        <f aca="false">BH7+1</f>
        <v>46017</v>
      </c>
      <c r="BJ7" s="135" t="n">
        <f aca="false">BI7+1</f>
        <v>46018</v>
      </c>
      <c r="BK7" s="135" t="n">
        <f aca="false">BJ7+1</f>
        <v>46019</v>
      </c>
      <c r="BL7" s="137" t="n">
        <f aca="false">BK7+1</f>
        <v>46020</v>
      </c>
      <c r="BM7" s="116"/>
    </row>
    <row r="8" customFormat="false" ht="19.5" hidden="false" customHeight="true" outlineLevel="0" collapsed="false">
      <c r="A8" s="15"/>
      <c r="B8" s="119"/>
      <c r="C8" s="119"/>
      <c r="D8" s="119"/>
      <c r="E8" s="120"/>
      <c r="F8" s="120"/>
      <c r="G8" s="120"/>
      <c r="H8" s="120"/>
      <c r="I8" s="138"/>
      <c r="J8" s="139"/>
      <c r="K8" s="139"/>
      <c r="L8" s="139"/>
      <c r="M8" s="139"/>
      <c r="N8" s="139"/>
      <c r="O8" s="139"/>
      <c r="P8" s="138"/>
      <c r="Q8" s="139"/>
      <c r="R8" s="139"/>
      <c r="S8" s="139"/>
      <c r="T8" s="139"/>
      <c r="U8" s="139"/>
      <c r="V8" s="139"/>
      <c r="W8" s="138"/>
      <c r="X8" s="139"/>
      <c r="Y8" s="139"/>
      <c r="Z8" s="139"/>
      <c r="AA8" s="139"/>
      <c r="AB8" s="139"/>
      <c r="AC8" s="139"/>
      <c r="AD8" s="138"/>
      <c r="AE8" s="139"/>
      <c r="AF8" s="139"/>
      <c r="AG8" s="139"/>
      <c r="AH8" s="139"/>
      <c r="AI8" s="139"/>
      <c r="AJ8" s="139"/>
      <c r="AK8" s="138"/>
      <c r="AL8" s="139"/>
      <c r="AM8" s="139"/>
      <c r="AN8" s="139"/>
      <c r="AO8" s="139"/>
      <c r="AP8" s="139"/>
      <c r="AQ8" s="139"/>
      <c r="AR8" s="138"/>
      <c r="AS8" s="139"/>
      <c r="AT8" s="139"/>
      <c r="AU8" s="139"/>
      <c r="AV8" s="139"/>
      <c r="AW8" s="139"/>
      <c r="AX8" s="139"/>
      <c r="AY8" s="138"/>
      <c r="AZ8" s="139"/>
      <c r="BA8" s="139"/>
      <c r="BB8" s="139"/>
      <c r="BC8" s="139"/>
      <c r="BD8" s="139"/>
      <c r="BE8" s="139"/>
      <c r="BF8" s="138"/>
      <c r="BG8" s="139"/>
      <c r="BH8" s="139"/>
      <c r="BI8" s="139"/>
      <c r="BJ8" s="139"/>
      <c r="BK8" s="139"/>
      <c r="BL8" s="140"/>
      <c r="BM8" s="116"/>
    </row>
    <row r="9" customFormat="false" ht="39.75" hidden="false" customHeight="true" outlineLevel="0" collapsed="false">
      <c r="A9" s="15"/>
      <c r="B9" s="141" t="s">
        <v>12</v>
      </c>
      <c r="C9" s="142" t="s">
        <v>79</v>
      </c>
      <c r="D9" s="142" t="s">
        <v>14</v>
      </c>
      <c r="E9" s="142" t="s">
        <v>15</v>
      </c>
      <c r="F9" s="142" t="s">
        <v>16</v>
      </c>
      <c r="G9" s="142" t="s">
        <v>17</v>
      </c>
      <c r="H9" s="143"/>
      <c r="I9" s="144" t="str">
        <f aca="false">LEFT(TEXT(I7,"ddd"),1)</f>
        <v>T</v>
      </c>
      <c r="J9" s="144" t="str">
        <f aca="false">LEFT(TEXT(J7,"ddd"),1)</f>
        <v>W</v>
      </c>
      <c r="K9" s="144" t="str">
        <f aca="false">LEFT(TEXT(K7,"ddd"),1)</f>
        <v>T</v>
      </c>
      <c r="L9" s="144" t="str">
        <f aca="false">LEFT(TEXT(L7,"ddd"),1)</f>
        <v>F</v>
      </c>
      <c r="M9" s="144" t="str">
        <f aca="false">LEFT(TEXT(M7,"ddd"),1)</f>
        <v>S</v>
      </c>
      <c r="N9" s="144" t="str">
        <f aca="false">LEFT(TEXT(N7,"ddd"),1)</f>
        <v>S</v>
      </c>
      <c r="O9" s="144" t="str">
        <f aca="false">LEFT(TEXT(O7,"ddd"),1)</f>
        <v>M</v>
      </c>
      <c r="P9" s="144" t="str">
        <f aca="false">LEFT(TEXT(P7,"ddd"),1)</f>
        <v>T</v>
      </c>
      <c r="Q9" s="144" t="str">
        <f aca="false">LEFT(TEXT(Q7,"ddd"),1)</f>
        <v>W</v>
      </c>
      <c r="R9" s="144" t="str">
        <f aca="false">LEFT(TEXT(R7,"ddd"),1)</f>
        <v>T</v>
      </c>
      <c r="S9" s="144" t="str">
        <f aca="false">LEFT(TEXT(S7,"ddd"),1)</f>
        <v>F</v>
      </c>
      <c r="T9" s="144" t="str">
        <f aca="false">LEFT(TEXT(T7,"ddd"),1)</f>
        <v>S</v>
      </c>
      <c r="U9" s="144" t="str">
        <f aca="false">LEFT(TEXT(U7,"ddd"),1)</f>
        <v>S</v>
      </c>
      <c r="V9" s="144" t="str">
        <f aca="false">LEFT(TEXT(V7,"ddd"),1)</f>
        <v>M</v>
      </c>
      <c r="W9" s="144" t="str">
        <f aca="false">LEFT(TEXT(W7,"ddd"),1)</f>
        <v>T</v>
      </c>
      <c r="X9" s="144" t="str">
        <f aca="false">LEFT(TEXT(X7,"ddd"),1)</f>
        <v>W</v>
      </c>
      <c r="Y9" s="144" t="str">
        <f aca="false">LEFT(TEXT(Y7,"ddd"),1)</f>
        <v>T</v>
      </c>
      <c r="Z9" s="144" t="str">
        <f aca="false">LEFT(TEXT(Z7,"ddd"),1)</f>
        <v>F</v>
      </c>
      <c r="AA9" s="144" t="str">
        <f aca="false">LEFT(TEXT(AA7,"ddd"),1)</f>
        <v>S</v>
      </c>
      <c r="AB9" s="144" t="str">
        <f aca="false">LEFT(TEXT(AB7,"ddd"),1)</f>
        <v>S</v>
      </c>
      <c r="AC9" s="144" t="str">
        <f aca="false">LEFT(TEXT(AC7,"ddd"),1)</f>
        <v>M</v>
      </c>
      <c r="AD9" s="144" t="str">
        <f aca="false">LEFT(TEXT(AD7,"ddd"),1)</f>
        <v>T</v>
      </c>
      <c r="AE9" s="144" t="str">
        <f aca="false">LEFT(TEXT(AE7,"ddd"),1)</f>
        <v>W</v>
      </c>
      <c r="AF9" s="144" t="str">
        <f aca="false">LEFT(TEXT(AF7,"ddd"),1)</f>
        <v>T</v>
      </c>
      <c r="AG9" s="144" t="str">
        <f aca="false">LEFT(TEXT(AG7,"ddd"),1)</f>
        <v>F</v>
      </c>
      <c r="AH9" s="144" t="str">
        <f aca="false">LEFT(TEXT(AH7,"ddd"),1)</f>
        <v>S</v>
      </c>
      <c r="AI9" s="144" t="str">
        <f aca="false">LEFT(TEXT(AI7,"ddd"),1)</f>
        <v>S</v>
      </c>
      <c r="AJ9" s="144" t="str">
        <f aca="false">LEFT(TEXT(AJ7,"ddd"),1)</f>
        <v>M</v>
      </c>
      <c r="AK9" s="144" t="str">
        <f aca="false">LEFT(TEXT(AK7,"ddd"),1)</f>
        <v>T</v>
      </c>
      <c r="AL9" s="144" t="str">
        <f aca="false">LEFT(TEXT(AL7,"ddd"),1)</f>
        <v>W</v>
      </c>
      <c r="AM9" s="144" t="str">
        <f aca="false">LEFT(TEXT(AM7,"ddd"),1)</f>
        <v>T</v>
      </c>
      <c r="AN9" s="144" t="str">
        <f aca="false">LEFT(TEXT(AN7,"ddd"),1)</f>
        <v>F</v>
      </c>
      <c r="AO9" s="144" t="str">
        <f aca="false">LEFT(TEXT(AO7,"ddd"),1)</f>
        <v>S</v>
      </c>
      <c r="AP9" s="144" t="str">
        <f aca="false">LEFT(TEXT(AP7,"ddd"),1)</f>
        <v>S</v>
      </c>
      <c r="AQ9" s="144" t="str">
        <f aca="false">LEFT(TEXT(AQ7,"ddd"),1)</f>
        <v>M</v>
      </c>
      <c r="AR9" s="144" t="str">
        <f aca="false">LEFT(TEXT(AR7,"ddd"),1)</f>
        <v>T</v>
      </c>
      <c r="AS9" s="144" t="str">
        <f aca="false">LEFT(TEXT(AS7,"ddd"),1)</f>
        <v>W</v>
      </c>
      <c r="AT9" s="144" t="str">
        <f aca="false">LEFT(TEXT(AT7,"ddd"),1)</f>
        <v>T</v>
      </c>
      <c r="AU9" s="144" t="str">
        <f aca="false">LEFT(TEXT(AU7,"ddd"),1)</f>
        <v>F</v>
      </c>
      <c r="AV9" s="144" t="str">
        <f aca="false">LEFT(TEXT(AV7,"ddd"),1)</f>
        <v>S</v>
      </c>
      <c r="AW9" s="144" t="str">
        <f aca="false">LEFT(TEXT(AW7,"ddd"),1)</f>
        <v>S</v>
      </c>
      <c r="AX9" s="144" t="str">
        <f aca="false">LEFT(TEXT(AX7,"ddd"),1)</f>
        <v>M</v>
      </c>
      <c r="AY9" s="144" t="str">
        <f aca="false">LEFT(TEXT(AY7,"ddd"),1)</f>
        <v>T</v>
      </c>
      <c r="AZ9" s="144" t="str">
        <f aca="false">LEFT(TEXT(AZ7,"ddd"),1)</f>
        <v>W</v>
      </c>
      <c r="BA9" s="144" t="str">
        <f aca="false">LEFT(TEXT(BA7,"ddd"),1)</f>
        <v>T</v>
      </c>
      <c r="BB9" s="144" t="str">
        <f aca="false">LEFT(TEXT(BB7,"ddd"),1)</f>
        <v>F</v>
      </c>
      <c r="BC9" s="144" t="str">
        <f aca="false">LEFT(TEXT(BC7,"ddd"),1)</f>
        <v>S</v>
      </c>
      <c r="BD9" s="144" t="str">
        <f aca="false">LEFT(TEXT(BD7,"ddd"),1)</f>
        <v>S</v>
      </c>
      <c r="BE9" s="144" t="str">
        <f aca="false">LEFT(TEXT(BE7,"ddd"),1)</f>
        <v>M</v>
      </c>
      <c r="BF9" s="144" t="str">
        <f aca="false">LEFT(TEXT(BF7,"ddd"),1)</f>
        <v>T</v>
      </c>
      <c r="BG9" s="144" t="str">
        <f aca="false">LEFT(TEXT(BG7,"ddd"),1)</f>
        <v>W</v>
      </c>
      <c r="BH9" s="144" t="str">
        <f aca="false">LEFT(TEXT(BH7,"ddd"),1)</f>
        <v>T</v>
      </c>
      <c r="BI9" s="144" t="str">
        <f aca="false">LEFT(TEXT(BI7,"ddd"),1)</f>
        <v>F</v>
      </c>
      <c r="BJ9" s="144" t="str">
        <f aca="false">LEFT(TEXT(BJ7,"ddd"),1)</f>
        <v>S</v>
      </c>
      <c r="BK9" s="144" t="str">
        <f aca="false">LEFT(TEXT(BK7,"ddd"),1)</f>
        <v>S</v>
      </c>
      <c r="BL9" s="144" t="str">
        <f aca="false">LEFT(TEXT(BL7,"ddd"),1)</f>
        <v>M</v>
      </c>
      <c r="BM9" s="116"/>
    </row>
    <row r="10" customFormat="false" ht="30" hidden="true" customHeight="true" outlineLevel="0" collapsed="false">
      <c r="B10" s="60"/>
      <c r="C10" s="61"/>
      <c r="D10" s="62"/>
      <c r="E10" s="61"/>
      <c r="F10" s="63"/>
      <c r="G10" s="64"/>
      <c r="H10" s="116"/>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116"/>
    </row>
    <row r="11" s="25" customFormat="true" ht="39.75" hidden="false" customHeight="true" outlineLevel="0" collapsed="false">
      <c r="A11" s="15"/>
      <c r="B11" s="145" t="s">
        <v>80</v>
      </c>
      <c r="C11" s="146"/>
      <c r="D11" s="146"/>
      <c r="E11" s="147"/>
      <c r="F11" s="148"/>
      <c r="G11" s="149"/>
      <c r="H11" s="150"/>
      <c r="I11" s="151" t="str">
        <f aca="false">IF(AND($C11="Goal",I$7&gt;=$F11,I$7&lt;=$F11+$G11-1),2,IF(AND($C11="Milestone",I$7&gt;=$F11,I$7&lt;=$F11+$G11-1),1,""))</f>
        <v/>
      </c>
      <c r="J11" s="152" t="str">
        <f aca="false">IF(AND($C11="Goal",J$7&gt;=$F11,J$7&lt;=$F11+$G11-1),2,IF(AND($C11="Milestone",J$7&gt;=$F11,J$7&lt;=$F11+$G11-1),1,""))</f>
        <v/>
      </c>
      <c r="K11" s="152" t="str">
        <f aca="false">IF(AND($C11="Goal",K$7&gt;=$F11,K$7&lt;=$F11+$G11-1),2,IF(AND($C11="Milestone",K$7&gt;=$F11,K$7&lt;=$F11+$G11-1),1,""))</f>
        <v/>
      </c>
      <c r="L11" s="152" t="str">
        <f aca="false">IF(AND($C11="Goal",L$7&gt;=$F11,L$7&lt;=$F11+$G11-1),2,IF(AND($C11="Milestone",L$7&gt;=$F11,L$7&lt;=$F11+$G11-1),1,""))</f>
        <v/>
      </c>
      <c r="M11" s="152" t="str">
        <f aca="false">IF(AND($C11="Goal",M$7&gt;=$F11,M$7&lt;=$F11+$G11-1),2,IF(AND($C11="Milestone",M$7&gt;=$F11,M$7&lt;=$F11+$G11-1),1,""))</f>
        <v/>
      </c>
      <c r="N11" s="152" t="str">
        <f aca="false">IF(AND($C11="Goal",N$7&gt;=$F11,N$7&lt;=$F11+$G11-1),2,IF(AND($C11="Milestone",N$7&gt;=$F11,N$7&lt;=$F11+$G11-1),1,""))</f>
        <v/>
      </c>
      <c r="O11" s="152" t="str">
        <f aca="false">IF(AND($C11="Goal",O$7&gt;=$F11,O$7&lt;=$F11+$G11-1),2,IF(AND($C11="Milestone",O$7&gt;=$F11,O$7&lt;=$F11+$G11-1),1,""))</f>
        <v/>
      </c>
      <c r="P11" s="152" t="str">
        <f aca="false">IF(AND($C11="Goal",P$7&gt;=$F11,P$7&lt;=$F11+$G11-1),2,IF(AND($C11="Milestone",P$7&gt;=$F11,P$7&lt;=$F11+$G11-1),1,""))</f>
        <v/>
      </c>
      <c r="Q11" s="152" t="str">
        <f aca="false">IF(AND($C11="Goal",Q$7&gt;=$F11,Q$7&lt;=$F11+$G11-1),2,IF(AND($C11="Milestone",Q$7&gt;=$F11,Q$7&lt;=$F11+$G11-1),1,""))</f>
        <v/>
      </c>
      <c r="R11" s="152" t="str">
        <f aca="false">IF(AND($C11="Goal",R$7&gt;=$F11,R$7&lt;=$F11+$G11-1),2,IF(AND($C11="Milestone",R$7&gt;=$F11,R$7&lt;=$F11+$G11-1),1,""))</f>
        <v/>
      </c>
      <c r="S11" s="152" t="str">
        <f aca="false">IF(AND($C11="Goal",S$7&gt;=$F11,S$7&lt;=$F11+$G11-1),2,IF(AND($C11="Milestone",S$7&gt;=$F11,S$7&lt;=$F11+$G11-1),1,""))</f>
        <v/>
      </c>
      <c r="T11" s="152" t="str">
        <f aca="false">IF(AND($C11="Goal",T$7&gt;=$F11,T$7&lt;=$F11+$G11-1),2,IF(AND($C11="Milestone",T$7&gt;=$F11,T$7&lt;=$F11+$G11-1),1,""))</f>
        <v/>
      </c>
      <c r="U11" s="152" t="str">
        <f aca="false">IF(AND($C11="Goal",U$7&gt;=$F11,U$7&lt;=$F11+$G11-1),2,IF(AND($C11="Milestone",U$7&gt;=$F11,U$7&lt;=$F11+$G11-1),1,""))</f>
        <v/>
      </c>
      <c r="V11" s="152" t="str">
        <f aca="false">IF(AND($C11="Goal",V$7&gt;=$F11,V$7&lt;=$F11+$G11-1),2,IF(AND($C11="Milestone",V$7&gt;=$F11,V$7&lt;=$F11+$G11-1),1,""))</f>
        <v/>
      </c>
      <c r="W11" s="152" t="str">
        <f aca="false">IF(AND($C11="Goal",W$7&gt;=$F11,W$7&lt;=$F11+$G11-1),2,IF(AND($C11="Milestone",W$7&gt;=$F11,W$7&lt;=$F11+$G11-1),1,""))</f>
        <v/>
      </c>
      <c r="X11" s="152" t="str">
        <f aca="false">IF(AND($C11="Goal",X$7&gt;=$F11,X$7&lt;=$F11+$G11-1),2,IF(AND($C11="Milestone",X$7&gt;=$F11,X$7&lt;=$F11+$G11-1),1,""))</f>
        <v/>
      </c>
      <c r="Y11" s="152" t="str">
        <f aca="false">IF(AND($C11="Goal",Y$7&gt;=$F11,Y$7&lt;=$F11+$G11-1),2,IF(AND($C11="Milestone",Y$7&gt;=$F11,Y$7&lt;=$F11+$G11-1),1,""))</f>
        <v/>
      </c>
      <c r="Z11" s="152" t="str">
        <f aca="false">IF(AND($C11="Goal",Z$7&gt;=$F11,Z$7&lt;=$F11+$G11-1),2,IF(AND($C11="Milestone",Z$7&gt;=$F11,Z$7&lt;=$F11+$G11-1),1,""))</f>
        <v/>
      </c>
      <c r="AA11" s="152" t="str">
        <f aca="false">IF(AND($C11="Goal",AA$7&gt;=$F11,AA$7&lt;=$F11+$G11-1),2,IF(AND($C11="Milestone",AA$7&gt;=$F11,AA$7&lt;=$F11+$G11-1),1,""))</f>
        <v/>
      </c>
      <c r="AB11" s="152" t="str">
        <f aca="false">IF(AND($C11="Goal",AB$7&gt;=$F11,AB$7&lt;=$F11+$G11-1),2,IF(AND($C11="Milestone",AB$7&gt;=$F11,AB$7&lt;=$F11+$G11-1),1,""))</f>
        <v/>
      </c>
      <c r="AC11" s="152" t="str">
        <f aca="false">IF(AND($C11="Goal",AC$7&gt;=$F11,AC$7&lt;=$F11+$G11-1),2,IF(AND($C11="Milestone",AC$7&gt;=$F11,AC$7&lt;=$F11+$G11-1),1,""))</f>
        <v/>
      </c>
      <c r="AD11" s="152" t="str">
        <f aca="false">IF(AND($C11="Goal",AD$7&gt;=$F11,AD$7&lt;=$F11+$G11-1),2,IF(AND($C11="Milestone",AD$7&gt;=$F11,AD$7&lt;=$F11+$G11-1),1,""))</f>
        <v/>
      </c>
      <c r="AE11" s="152" t="str">
        <f aca="false">IF(AND($C11="Goal",AE$7&gt;=$F11,AE$7&lt;=$F11+$G11-1),2,IF(AND($C11="Milestone",AE$7&gt;=$F11,AE$7&lt;=$F11+$G11-1),1,""))</f>
        <v/>
      </c>
      <c r="AF11" s="152" t="str">
        <f aca="false">IF(AND($C11="Goal",AF$7&gt;=$F11,AF$7&lt;=$F11+$G11-1),2,IF(AND($C11="Milestone",AF$7&gt;=$F11,AF$7&lt;=$F11+$G11-1),1,""))</f>
        <v/>
      </c>
      <c r="AG11" s="152" t="str">
        <f aca="false">IF(AND($C11="Goal",AG$7&gt;=$F11,AG$7&lt;=$F11+$G11-1),2,IF(AND($C11="Milestone",AG$7&gt;=$F11,AG$7&lt;=$F11+$G11-1),1,""))</f>
        <v/>
      </c>
      <c r="AH11" s="152" t="str">
        <f aca="false">IF(AND($C11="Goal",AH$7&gt;=$F11,AH$7&lt;=$F11+$G11-1),2,IF(AND($C11="Milestone",AH$7&gt;=$F11,AH$7&lt;=$F11+$G11-1),1,""))</f>
        <v/>
      </c>
      <c r="AI11" s="152" t="str">
        <f aca="false">IF(AND($C11="Goal",AI$7&gt;=$F11,AI$7&lt;=$F11+$G11-1),2,IF(AND($C11="Milestone",AI$7&gt;=$F11,AI$7&lt;=$F11+$G11-1),1,""))</f>
        <v/>
      </c>
      <c r="AJ11" s="152" t="str">
        <f aca="false">IF(AND($C11="Goal",AJ$7&gt;=$F11,AJ$7&lt;=$F11+$G11-1),2,IF(AND($C11="Milestone",AJ$7&gt;=$F11,AJ$7&lt;=$F11+$G11-1),1,""))</f>
        <v/>
      </c>
      <c r="AK11" s="152" t="str">
        <f aca="false">IF(AND($C11="Goal",AK$7&gt;=$F11,AK$7&lt;=$F11+$G11-1),2,IF(AND($C11="Milestone",AK$7&gt;=$F11,AK$7&lt;=$F11+$G11-1),1,""))</f>
        <v/>
      </c>
      <c r="AL11" s="152" t="str">
        <f aca="false">IF(AND($C11="Goal",AL$7&gt;=$F11,AL$7&lt;=$F11+$G11-1),2,IF(AND($C11="Milestone",AL$7&gt;=$F11,AL$7&lt;=$F11+$G11-1),1,""))</f>
        <v/>
      </c>
      <c r="AM11" s="152" t="str">
        <f aca="false">IF(AND($C11="Goal",AM$7&gt;=$F11,AM$7&lt;=$F11+$G11-1),2,IF(AND($C11="Milestone",AM$7&gt;=$F11,AM$7&lt;=$F11+$G11-1),1,""))</f>
        <v/>
      </c>
      <c r="AN11" s="152" t="str">
        <f aca="false">IF(AND($C11="Goal",AN$7&gt;=$F11,AN$7&lt;=$F11+$G11-1),2,IF(AND($C11="Milestone",AN$7&gt;=$F11,AN$7&lt;=$F11+$G11-1),1,""))</f>
        <v/>
      </c>
      <c r="AO11" s="152" t="str">
        <f aca="false">IF(AND($C11="Goal",AO$7&gt;=$F11,AO$7&lt;=$F11+$G11-1),2,IF(AND($C11="Milestone",AO$7&gt;=$F11,AO$7&lt;=$F11+$G11-1),1,""))</f>
        <v/>
      </c>
      <c r="AP11" s="152" t="str">
        <f aca="false">IF(AND($C11="Goal",AP$7&gt;=$F11,AP$7&lt;=$F11+$G11-1),2,IF(AND($C11="Milestone",AP$7&gt;=$F11,AP$7&lt;=$F11+$G11-1),1,""))</f>
        <v/>
      </c>
      <c r="AQ11" s="152" t="str">
        <f aca="false">IF(AND($C11="Goal",AQ$7&gt;=$F11,AQ$7&lt;=$F11+$G11-1),2,IF(AND($C11="Milestone",AQ$7&gt;=$F11,AQ$7&lt;=$F11+$G11-1),1,""))</f>
        <v/>
      </c>
      <c r="AR11" s="152" t="str">
        <f aca="false">IF(AND($C11="Goal",AR$7&gt;=$F11,AR$7&lt;=$F11+$G11-1),2,IF(AND($C11="Milestone",AR$7&gt;=$F11,AR$7&lt;=$F11+$G11-1),1,""))</f>
        <v/>
      </c>
      <c r="AS11" s="152" t="str">
        <f aca="false">IF(AND($C11="Goal",AS$7&gt;=$F11,AS$7&lt;=$F11+$G11-1),2,IF(AND($C11="Milestone",AS$7&gt;=$F11,AS$7&lt;=$F11+$G11-1),1,""))</f>
        <v/>
      </c>
      <c r="AT11" s="152" t="str">
        <f aca="false">IF(AND($C11="Goal",AT$7&gt;=$F11,AT$7&lt;=$F11+$G11-1),2,IF(AND($C11="Milestone",AT$7&gt;=$F11,AT$7&lt;=$F11+$G11-1),1,""))</f>
        <v/>
      </c>
      <c r="AU11" s="152" t="str">
        <f aca="false">IF(AND($C11="Goal",AU$7&gt;=$F11,AU$7&lt;=$F11+$G11-1),2,IF(AND($C11="Milestone",AU$7&gt;=$F11,AU$7&lt;=$F11+$G11-1),1,""))</f>
        <v/>
      </c>
      <c r="AV11" s="152" t="str">
        <f aca="false">IF(AND($C11="Goal",AV$7&gt;=$F11,AV$7&lt;=$F11+$G11-1),2,IF(AND($C11="Milestone",AV$7&gt;=$F11,AV$7&lt;=$F11+$G11-1),1,""))</f>
        <v/>
      </c>
      <c r="AW11" s="152" t="str">
        <f aca="false">IF(AND($C11="Goal",AW$7&gt;=$F11,AW$7&lt;=$F11+$G11-1),2,IF(AND($C11="Milestone",AW$7&gt;=$F11,AW$7&lt;=$F11+$G11-1),1,""))</f>
        <v/>
      </c>
      <c r="AX11" s="152" t="str">
        <f aca="false">IF(AND($C11="Goal",AX$7&gt;=$F11,AX$7&lt;=$F11+$G11-1),2,IF(AND($C11="Milestone",AX$7&gt;=$F11,AX$7&lt;=$F11+$G11-1),1,""))</f>
        <v/>
      </c>
      <c r="AY11" s="152" t="str">
        <f aca="false">IF(AND($C11="Goal",AY$7&gt;=$F11,AY$7&lt;=$F11+$G11-1),2,IF(AND($C11="Milestone",AY$7&gt;=$F11,AY$7&lt;=$F11+$G11-1),1,""))</f>
        <v/>
      </c>
      <c r="AZ11" s="152" t="str">
        <f aca="false">IF(AND($C11="Goal",AZ$7&gt;=$F11,AZ$7&lt;=$F11+$G11-1),2,IF(AND($C11="Milestone",AZ$7&gt;=$F11,AZ$7&lt;=$F11+$G11-1),1,""))</f>
        <v/>
      </c>
      <c r="BA11" s="152" t="str">
        <f aca="false">IF(AND($C11="Goal",BA$7&gt;=$F11,BA$7&lt;=$F11+$G11-1),2,IF(AND($C11="Milestone",BA$7&gt;=$F11,BA$7&lt;=$F11+$G11-1),1,""))</f>
        <v/>
      </c>
      <c r="BB11" s="152" t="str">
        <f aca="false">IF(AND($C11="Goal",BB$7&gt;=$F11,BB$7&lt;=$F11+$G11-1),2,IF(AND($C11="Milestone",BB$7&gt;=$F11,BB$7&lt;=$F11+$G11-1),1,""))</f>
        <v/>
      </c>
      <c r="BC11" s="152" t="str">
        <f aca="false">IF(AND($C11="Goal",BC$7&gt;=$F11,BC$7&lt;=$F11+$G11-1),2,IF(AND($C11="Milestone",BC$7&gt;=$F11,BC$7&lt;=$F11+$G11-1),1,""))</f>
        <v/>
      </c>
      <c r="BD11" s="152" t="str">
        <f aca="false">IF(AND($C11="Goal",BD$7&gt;=$F11,BD$7&lt;=$F11+$G11-1),2,IF(AND($C11="Milestone",BD$7&gt;=$F11,BD$7&lt;=$F11+$G11-1),1,""))</f>
        <v/>
      </c>
      <c r="BE11" s="152" t="str">
        <f aca="false">IF(AND($C11="Goal",BE$7&gt;=$F11,BE$7&lt;=$F11+$G11-1),2,IF(AND($C11="Milestone",BE$7&gt;=$F11,BE$7&lt;=$F11+$G11-1),1,""))</f>
        <v/>
      </c>
      <c r="BF11" s="152" t="str">
        <f aca="false">IF(AND($C11="Goal",BF$7&gt;=$F11,BF$7&lt;=$F11+$G11-1),2,IF(AND($C11="Milestone",BF$7&gt;=$F11,BF$7&lt;=$F11+$G11-1),1,""))</f>
        <v/>
      </c>
      <c r="BG11" s="152" t="str">
        <f aca="false">IF(AND($C11="Goal",BG$7&gt;=$F11,BG$7&lt;=$F11+$G11-1),2,IF(AND($C11="Milestone",BG$7&gt;=$F11,BG$7&lt;=$F11+$G11-1),1,""))</f>
        <v/>
      </c>
      <c r="BH11" s="152" t="str">
        <f aca="false">IF(AND($C11="Goal",BH$7&gt;=$F11,BH$7&lt;=$F11+$G11-1),2,IF(AND($C11="Milestone",BH$7&gt;=$F11,BH$7&lt;=$F11+$G11-1),1,""))</f>
        <v/>
      </c>
      <c r="BI11" s="152" t="str">
        <f aca="false">IF(AND($C11="Goal",BI$7&gt;=$F11,BI$7&lt;=$F11+$G11-1),2,IF(AND($C11="Milestone",BI$7&gt;=$F11,BI$7&lt;=$F11+$G11-1),1,""))</f>
        <v/>
      </c>
      <c r="BJ11" s="152" t="str">
        <f aca="false">IF(AND($C11="Goal",BJ$7&gt;=$F11,BJ$7&lt;=$F11+$G11-1),2,IF(AND($C11="Milestone",BJ$7&gt;=$F11,BJ$7&lt;=$F11+$G11-1),1,""))</f>
        <v/>
      </c>
      <c r="BK11" s="152" t="str">
        <f aca="false">IF(AND($C11="Goal",BK$7&gt;=$F11,BK$7&lt;=$F11+$G11-1),2,IF(AND($C11="Milestone",BK$7&gt;=$F11,BK$7&lt;=$F11+$G11-1),1,""))</f>
        <v/>
      </c>
      <c r="BL11" s="152" t="str">
        <f aca="false">IF(AND($C11="Goal",BL$7&gt;=$F11,BL$7&lt;=$F11+$G11-1),2,IF(AND($C11="Milestone",BL$7&gt;=$F11,BL$7&lt;=$F11+$G11-1),1,""))</f>
        <v/>
      </c>
      <c r="BM11" s="114"/>
      <c r="BP11" s="72"/>
    </row>
    <row r="12" s="25" customFormat="true" ht="39.75" hidden="false" customHeight="true" outlineLevel="0" collapsed="false">
      <c r="A12" s="15"/>
      <c r="B12" s="153" t="s">
        <v>81</v>
      </c>
      <c r="C12" s="146" t="s">
        <v>82</v>
      </c>
      <c r="D12" s="146" t="s">
        <v>83</v>
      </c>
      <c r="E12" s="147" t="n">
        <v>0.25</v>
      </c>
      <c r="F12" s="148" t="n">
        <f aca="true">TODAY()</f>
        <v>45965</v>
      </c>
      <c r="G12" s="149" t="n">
        <v>3</v>
      </c>
      <c r="H12" s="150"/>
      <c r="I12" s="151" t="n">
        <f aca="false">IF(AND($C12="Goal",I$7&gt;=$F12,I$7&lt;=$F12+$G12-1),2,IF(AND($C12="Milestone",I$7&gt;=$F12,I$7&lt;=$F12+$G12-1),1,""))</f>
        <v>2</v>
      </c>
      <c r="J12" s="152" t="n">
        <f aca="false">IF(AND($C12="Goal",J$7&gt;=$F12,J$7&lt;=$F12+$G12-1),2,IF(AND($C12="Milestone",J$7&gt;=$F12,J$7&lt;=$F12+$G12-1),1,""))</f>
        <v>2</v>
      </c>
      <c r="K12" s="152" t="n">
        <f aca="false">IF(AND($C12="Goal",K$7&gt;=$F12,K$7&lt;=$F12+$G12-1),2,IF(AND($C12="Milestone",K$7&gt;=$F12,K$7&lt;=$F12+$G12-1),1,""))</f>
        <v>2</v>
      </c>
      <c r="L12" s="152" t="str">
        <f aca="false">IF(AND($C12="Goal",L$7&gt;=$F12,L$7&lt;=$F12+$G12-1),2,IF(AND($C12="Milestone",L$7&gt;=$F12,L$7&lt;=$F12+$G12-1),1,""))</f>
        <v/>
      </c>
      <c r="M12" s="152" t="str">
        <f aca="false">IF(AND($C12="Goal",M$7&gt;=$F12,M$7&lt;=$F12+$G12-1),2,IF(AND($C12="Milestone",M$7&gt;=$F12,M$7&lt;=$F12+$G12-1),1,""))</f>
        <v/>
      </c>
      <c r="N12" s="152" t="str">
        <f aca="false">IF(AND($C12="Goal",N$7&gt;=$F12,N$7&lt;=$F12+$G12-1),2,IF(AND($C12="Milestone",N$7&gt;=$F12,N$7&lt;=$F12+$G12-1),1,""))</f>
        <v/>
      </c>
      <c r="O12" s="152" t="str">
        <f aca="false">IF(AND($C12="Goal",O$7&gt;=$F12,O$7&lt;=$F12+$G12-1),2,IF(AND($C12="Milestone",O$7&gt;=$F12,O$7&lt;=$F12+$G12-1),1,""))</f>
        <v/>
      </c>
      <c r="P12" s="152" t="str">
        <f aca="false">IF(AND($C12="Goal",P$7&gt;=$F12,P$7&lt;=$F12+$G12-1),2,IF(AND($C12="Milestone",P$7&gt;=$F12,P$7&lt;=$F12+$G12-1),1,""))</f>
        <v/>
      </c>
      <c r="Q12" s="152" t="str">
        <f aca="false">IF(AND($C12="Goal",Q$7&gt;=$F12,Q$7&lt;=$F12+$G12-1),2,IF(AND($C12="Milestone",Q$7&gt;=$F12,Q$7&lt;=$F12+$G12-1),1,""))</f>
        <v/>
      </c>
      <c r="R12" s="152" t="str">
        <f aca="false">IF(AND($C12="Goal",R$7&gt;=$F12,R$7&lt;=$F12+$G12-1),2,IF(AND($C12="Milestone",R$7&gt;=$F12,R$7&lt;=$F12+$G12-1),1,""))</f>
        <v/>
      </c>
      <c r="S12" s="152" t="str">
        <f aca="false">IF(AND($C12="Goal",S$7&gt;=$F12,S$7&lt;=$F12+$G12-1),2,IF(AND($C12="Milestone",S$7&gt;=$F12,S$7&lt;=$F12+$G12-1),1,""))</f>
        <v/>
      </c>
      <c r="T12" s="152" t="str">
        <f aca="false">IF(AND($C12="Goal",T$7&gt;=$F12,T$7&lt;=$F12+$G12-1),2,IF(AND($C12="Milestone",T$7&gt;=$F12,T$7&lt;=$F12+$G12-1),1,""))</f>
        <v/>
      </c>
      <c r="U12" s="152" t="str">
        <f aca="false">IF(AND($C12="Goal",U$7&gt;=$F12,U$7&lt;=$F12+$G12-1),2,IF(AND($C12="Milestone",U$7&gt;=$F12,U$7&lt;=$F12+$G12-1),1,""))</f>
        <v/>
      </c>
      <c r="V12" s="152" t="str">
        <f aca="false">IF(AND($C12="Goal",V$7&gt;=$F12,V$7&lt;=$F12+$G12-1),2,IF(AND($C12="Milestone",V$7&gt;=$F12,V$7&lt;=$F12+$G12-1),1,""))</f>
        <v/>
      </c>
      <c r="W12" s="152" t="str">
        <f aca="false">IF(AND($C12="Goal",W$7&gt;=$F12,W$7&lt;=$F12+$G12-1),2,IF(AND($C12="Milestone",W$7&gt;=$F12,W$7&lt;=$F12+$G12-1),1,""))</f>
        <v/>
      </c>
      <c r="X12" s="152" t="str">
        <f aca="false">IF(AND($C12="Goal",X$7&gt;=$F12,X$7&lt;=$F12+$G12-1),2,IF(AND($C12="Milestone",X$7&gt;=$F12,X$7&lt;=$F12+$G12-1),1,""))</f>
        <v/>
      </c>
      <c r="Y12" s="152" t="str">
        <f aca="false">IF(AND($C12="Goal",Y$7&gt;=$F12,Y$7&lt;=$F12+$G12-1),2,IF(AND($C12="Milestone",Y$7&gt;=$F12,Y$7&lt;=$F12+$G12-1),1,""))</f>
        <v/>
      </c>
      <c r="Z12" s="152" t="str">
        <f aca="false">IF(AND($C12="Goal",Z$7&gt;=$F12,Z$7&lt;=$F12+$G12-1),2,IF(AND($C12="Milestone",Z$7&gt;=$F12,Z$7&lt;=$F12+$G12-1),1,""))</f>
        <v/>
      </c>
      <c r="AA12" s="152" t="str">
        <f aca="false">IF(AND($C12="Goal",AA$7&gt;=$F12,AA$7&lt;=$F12+$G12-1),2,IF(AND($C12="Milestone",AA$7&gt;=$F12,AA$7&lt;=$F12+$G12-1),1,""))</f>
        <v/>
      </c>
      <c r="AB12" s="152" t="str">
        <f aca="false">IF(AND($C12="Goal",AB$7&gt;=$F12,AB$7&lt;=$F12+$G12-1),2,IF(AND($C12="Milestone",AB$7&gt;=$F12,AB$7&lt;=$F12+$G12-1),1,""))</f>
        <v/>
      </c>
      <c r="AC12" s="152" t="str">
        <f aca="false">IF(AND($C12="Goal",AC$7&gt;=$F12,AC$7&lt;=$F12+$G12-1),2,IF(AND($C12="Milestone",AC$7&gt;=$F12,AC$7&lt;=$F12+$G12-1),1,""))</f>
        <v/>
      </c>
      <c r="AD12" s="152" t="str">
        <f aca="false">IF(AND($C12="Goal",AD$7&gt;=$F12,AD$7&lt;=$F12+$G12-1),2,IF(AND($C12="Milestone",AD$7&gt;=$F12,AD$7&lt;=$F12+$G12-1),1,""))</f>
        <v/>
      </c>
      <c r="AE12" s="152" t="str">
        <f aca="false">IF(AND($C12="Goal",AE$7&gt;=$F12,AE$7&lt;=$F12+$G12-1),2,IF(AND($C12="Milestone",AE$7&gt;=$F12,AE$7&lt;=$F12+$G12-1),1,""))</f>
        <v/>
      </c>
      <c r="AF12" s="152" t="str">
        <f aca="false">IF(AND($C12="Goal",AF$7&gt;=$F12,AF$7&lt;=$F12+$G12-1),2,IF(AND($C12="Milestone",AF$7&gt;=$F12,AF$7&lt;=$F12+$G12-1),1,""))</f>
        <v/>
      </c>
      <c r="AG12" s="152" t="str">
        <f aca="false">IF(AND($C12="Goal",AG$7&gt;=$F12,AG$7&lt;=$F12+$G12-1),2,IF(AND($C12="Milestone",AG$7&gt;=$F12,AG$7&lt;=$F12+$G12-1),1,""))</f>
        <v/>
      </c>
      <c r="AH12" s="152" t="str">
        <f aca="false">IF(AND($C12="Goal",AH$7&gt;=$F12,AH$7&lt;=$F12+$G12-1),2,IF(AND($C12="Milestone",AH$7&gt;=$F12,AH$7&lt;=$F12+$G12-1),1,""))</f>
        <v/>
      </c>
      <c r="AI12" s="152" t="str">
        <f aca="false">IF(AND($C12="Goal",AI$7&gt;=$F12,AI$7&lt;=$F12+$G12-1),2,IF(AND($C12="Milestone",AI$7&gt;=$F12,AI$7&lt;=$F12+$G12-1),1,""))</f>
        <v/>
      </c>
      <c r="AJ12" s="152" t="str">
        <f aca="false">IF(AND($C12="Goal",AJ$7&gt;=$F12,AJ$7&lt;=$F12+$G12-1),2,IF(AND($C12="Milestone",AJ$7&gt;=$F12,AJ$7&lt;=$F12+$G12-1),1,""))</f>
        <v/>
      </c>
      <c r="AK12" s="152" t="str">
        <f aca="false">IF(AND($C12="Goal",AK$7&gt;=$F12,AK$7&lt;=$F12+$G12-1),2,IF(AND($C12="Milestone",AK$7&gt;=$F12,AK$7&lt;=$F12+$G12-1),1,""))</f>
        <v/>
      </c>
      <c r="AL12" s="152" t="str">
        <f aca="false">IF(AND($C12="Goal",AL$7&gt;=$F12,AL$7&lt;=$F12+$G12-1),2,IF(AND($C12="Milestone",AL$7&gt;=$F12,AL$7&lt;=$F12+$G12-1),1,""))</f>
        <v/>
      </c>
      <c r="AM12" s="152" t="str">
        <f aca="false">IF(AND($C12="Goal",AM$7&gt;=$F12,AM$7&lt;=$F12+$G12-1),2,IF(AND($C12="Milestone",AM$7&gt;=$F12,AM$7&lt;=$F12+$G12-1),1,""))</f>
        <v/>
      </c>
      <c r="AN12" s="152" t="str">
        <f aca="false">IF(AND($C12="Goal",AN$7&gt;=$F12,AN$7&lt;=$F12+$G12-1),2,IF(AND($C12="Milestone",AN$7&gt;=$F12,AN$7&lt;=$F12+$G12-1),1,""))</f>
        <v/>
      </c>
      <c r="AO12" s="152" t="str">
        <f aca="false">IF(AND($C12="Goal",AO$7&gt;=$F12,AO$7&lt;=$F12+$G12-1),2,IF(AND($C12="Milestone",AO$7&gt;=$F12,AO$7&lt;=$F12+$G12-1),1,""))</f>
        <v/>
      </c>
      <c r="AP12" s="152" t="str">
        <f aca="false">IF(AND($C12="Goal",AP$7&gt;=$F12,AP$7&lt;=$F12+$G12-1),2,IF(AND($C12="Milestone",AP$7&gt;=$F12,AP$7&lt;=$F12+$G12-1),1,""))</f>
        <v/>
      </c>
      <c r="AQ12" s="152" t="str">
        <f aca="false">IF(AND($C12="Goal",AQ$7&gt;=$F12,AQ$7&lt;=$F12+$G12-1),2,IF(AND($C12="Milestone",AQ$7&gt;=$F12,AQ$7&lt;=$F12+$G12-1),1,""))</f>
        <v/>
      </c>
      <c r="AR12" s="152" t="str">
        <f aca="false">IF(AND($C12="Goal",AR$7&gt;=$F12,AR$7&lt;=$F12+$G12-1),2,IF(AND($C12="Milestone",AR$7&gt;=$F12,AR$7&lt;=$F12+$G12-1),1,""))</f>
        <v/>
      </c>
      <c r="AS12" s="152" t="str">
        <f aca="false">IF(AND($C12="Goal",AS$7&gt;=$F12,AS$7&lt;=$F12+$G12-1),2,IF(AND($C12="Milestone",AS$7&gt;=$F12,AS$7&lt;=$F12+$G12-1),1,""))</f>
        <v/>
      </c>
      <c r="AT12" s="152" t="str">
        <f aca="false">IF(AND($C12="Goal",AT$7&gt;=$F12,AT$7&lt;=$F12+$G12-1),2,IF(AND($C12="Milestone",AT$7&gt;=$F12,AT$7&lt;=$F12+$G12-1),1,""))</f>
        <v/>
      </c>
      <c r="AU12" s="152" t="str">
        <f aca="false">IF(AND($C12="Goal",AU$7&gt;=$F12,AU$7&lt;=$F12+$G12-1),2,IF(AND($C12="Milestone",AU$7&gt;=$F12,AU$7&lt;=$F12+$G12-1),1,""))</f>
        <v/>
      </c>
      <c r="AV12" s="152" t="str">
        <f aca="false">IF(AND($C12="Goal",AV$7&gt;=$F12,AV$7&lt;=$F12+$G12-1),2,IF(AND($C12="Milestone",AV$7&gt;=$F12,AV$7&lt;=$F12+$G12-1),1,""))</f>
        <v/>
      </c>
      <c r="AW12" s="152" t="str">
        <f aca="false">IF(AND($C12="Goal",AW$7&gt;=$F12,AW$7&lt;=$F12+$G12-1),2,IF(AND($C12="Milestone",AW$7&gt;=$F12,AW$7&lt;=$F12+$G12-1),1,""))</f>
        <v/>
      </c>
      <c r="AX12" s="152" t="str">
        <f aca="false">IF(AND($C12="Goal",AX$7&gt;=$F12,AX$7&lt;=$F12+$G12-1),2,IF(AND($C12="Milestone",AX$7&gt;=$F12,AX$7&lt;=$F12+$G12-1),1,""))</f>
        <v/>
      </c>
      <c r="AY12" s="152" t="str">
        <f aca="false">IF(AND($C12="Goal",AY$7&gt;=$F12,AY$7&lt;=$F12+$G12-1),2,IF(AND($C12="Milestone",AY$7&gt;=$F12,AY$7&lt;=$F12+$G12-1),1,""))</f>
        <v/>
      </c>
      <c r="AZ12" s="152" t="str">
        <f aca="false">IF(AND($C12="Goal",AZ$7&gt;=$F12,AZ$7&lt;=$F12+$G12-1),2,IF(AND($C12="Milestone",AZ$7&gt;=$F12,AZ$7&lt;=$F12+$G12-1),1,""))</f>
        <v/>
      </c>
      <c r="BA12" s="152" t="str">
        <f aca="false">IF(AND($C12="Goal",BA$7&gt;=$F12,BA$7&lt;=$F12+$G12-1),2,IF(AND($C12="Milestone",BA$7&gt;=$F12,BA$7&lt;=$F12+$G12-1),1,""))</f>
        <v/>
      </c>
      <c r="BB12" s="152" t="str">
        <f aca="false">IF(AND($C12="Goal",BB$7&gt;=$F12,BB$7&lt;=$F12+$G12-1),2,IF(AND($C12="Milestone",BB$7&gt;=$F12,BB$7&lt;=$F12+$G12-1),1,""))</f>
        <v/>
      </c>
      <c r="BC12" s="152" t="str">
        <f aca="false">IF(AND($C12="Goal",BC$7&gt;=$F12,BC$7&lt;=$F12+$G12-1),2,IF(AND($C12="Milestone",BC$7&gt;=$F12,BC$7&lt;=$F12+$G12-1),1,""))</f>
        <v/>
      </c>
      <c r="BD12" s="152" t="str">
        <f aca="false">IF(AND($C12="Goal",BD$7&gt;=$F12,BD$7&lt;=$F12+$G12-1),2,IF(AND($C12="Milestone",BD$7&gt;=$F12,BD$7&lt;=$F12+$G12-1),1,""))</f>
        <v/>
      </c>
      <c r="BE12" s="152" t="str">
        <f aca="false">IF(AND($C12="Goal",BE$7&gt;=$F12,BE$7&lt;=$F12+$G12-1),2,IF(AND($C12="Milestone",BE$7&gt;=$F12,BE$7&lt;=$F12+$G12-1),1,""))</f>
        <v/>
      </c>
      <c r="BF12" s="152" t="str">
        <f aca="false">IF(AND($C12="Goal",BF$7&gt;=$F12,BF$7&lt;=$F12+$G12-1),2,IF(AND($C12="Milestone",BF$7&gt;=$F12,BF$7&lt;=$F12+$G12-1),1,""))</f>
        <v/>
      </c>
      <c r="BG12" s="152" t="str">
        <f aca="false">IF(AND($C12="Goal",BG$7&gt;=$F12,BG$7&lt;=$F12+$G12-1),2,IF(AND($C12="Milestone",BG$7&gt;=$F12,BG$7&lt;=$F12+$G12-1),1,""))</f>
        <v/>
      </c>
      <c r="BH12" s="152" t="str">
        <f aca="false">IF(AND($C12="Goal",BH$7&gt;=$F12,BH$7&lt;=$F12+$G12-1),2,IF(AND($C12="Milestone",BH$7&gt;=$F12,BH$7&lt;=$F12+$G12-1),1,""))</f>
        <v/>
      </c>
      <c r="BI12" s="152" t="str">
        <f aca="false">IF(AND($C12="Goal",BI$7&gt;=$F12,BI$7&lt;=$F12+$G12-1),2,IF(AND($C12="Milestone",BI$7&gt;=$F12,BI$7&lt;=$F12+$G12-1),1,""))</f>
        <v/>
      </c>
      <c r="BJ12" s="152" t="str">
        <f aca="false">IF(AND($C12="Goal",BJ$7&gt;=$F12,BJ$7&lt;=$F12+$G12-1),2,IF(AND($C12="Milestone",BJ$7&gt;=$F12,BJ$7&lt;=$F12+$G12-1),1,""))</f>
        <v/>
      </c>
      <c r="BK12" s="152" t="str">
        <f aca="false">IF(AND($C12="Goal",BK$7&gt;=$F12,BK$7&lt;=$F12+$G12-1),2,IF(AND($C12="Milestone",BK$7&gt;=$F12,BK$7&lt;=$F12+$G12-1),1,""))</f>
        <v/>
      </c>
      <c r="BL12" s="152" t="str">
        <f aca="false">IF(AND($C12="Goal",BL$7&gt;=$F12,BL$7&lt;=$F12+$G12-1),2,IF(AND($C12="Milestone",BL$7&gt;=$F12,BL$7&lt;=$F12+$G12-1),1,""))</f>
        <v/>
      </c>
      <c r="BM12" s="114"/>
    </row>
    <row r="13" s="25" customFormat="true" ht="39.75" hidden="false" customHeight="true" outlineLevel="0" collapsed="false">
      <c r="A13" s="15"/>
      <c r="B13" s="153" t="s">
        <v>84</v>
      </c>
      <c r="C13" s="146" t="s">
        <v>85</v>
      </c>
      <c r="D13" s="146"/>
      <c r="E13" s="147"/>
      <c r="F13" s="148" t="n">
        <f aca="true">TODAY()+5</f>
        <v>45970</v>
      </c>
      <c r="G13" s="149" t="n">
        <v>1</v>
      </c>
      <c r="H13" s="150"/>
      <c r="I13" s="151" t="str">
        <f aca="false">IF(AND($C13="Goal",I$7&gt;=$F13,I$7&lt;=$F13+$G13-1),2,IF(AND($C13="Milestone",I$7&gt;=$F13,I$7&lt;=$F13+$G13-1),1,""))</f>
        <v/>
      </c>
      <c r="J13" s="152" t="str">
        <f aca="false">IF(AND($C13="Goal",J$7&gt;=$F13,J$7&lt;=$F13+$G13-1),2,IF(AND($C13="Milestone",J$7&gt;=$F13,J$7&lt;=$F13+$G13-1),1,""))</f>
        <v/>
      </c>
      <c r="K13" s="152" t="str">
        <f aca="false">IF(AND($C13="Goal",K$7&gt;=$F13,K$7&lt;=$F13+$G13-1),2,IF(AND($C13="Milestone",K$7&gt;=$F13,K$7&lt;=$F13+$G13-1),1,""))</f>
        <v/>
      </c>
      <c r="L13" s="152" t="str">
        <f aca="false">IF(AND($C13="Goal",L$7&gt;=$F13,L$7&lt;=$F13+$G13-1),2,IF(AND($C13="Milestone",L$7&gt;=$F13,L$7&lt;=$F13+$G13-1),1,""))</f>
        <v/>
      </c>
      <c r="M13" s="152" t="str">
        <f aca="false">IF(AND($C13="Goal",M$7&gt;=$F13,M$7&lt;=$F13+$G13-1),2,IF(AND($C13="Milestone",M$7&gt;=$F13,M$7&lt;=$F13+$G13-1),1,""))</f>
        <v/>
      </c>
      <c r="N13" s="152" t="n">
        <f aca="false">IF(AND($C13="Goal",N$7&gt;=$F13,N$7&lt;=$F13+$G13-1),2,IF(AND($C13="Milestone",N$7&gt;=$F13,N$7&lt;=$F13+$G13-1),1,""))</f>
        <v>1</v>
      </c>
      <c r="O13" s="152" t="str">
        <f aca="false">IF(AND($C13="Goal",O$7&gt;=$F13,O$7&lt;=$F13+$G13-1),2,IF(AND($C13="Milestone",O$7&gt;=$F13,O$7&lt;=$F13+$G13-1),1,""))</f>
        <v/>
      </c>
      <c r="P13" s="152" t="str">
        <f aca="false">IF(AND($C13="Goal",P$7&gt;=$F13,P$7&lt;=$F13+$G13-1),2,IF(AND($C13="Milestone",P$7&gt;=$F13,P$7&lt;=$F13+$G13-1),1,""))</f>
        <v/>
      </c>
      <c r="Q13" s="152" t="str">
        <f aca="false">IF(AND($C13="Goal",Q$7&gt;=$F13,Q$7&lt;=$F13+$G13-1),2,IF(AND($C13="Milestone",Q$7&gt;=$F13,Q$7&lt;=$F13+$G13-1),1,""))</f>
        <v/>
      </c>
      <c r="R13" s="152" t="str">
        <f aca="false">IF(AND($C13="Goal",R$7&gt;=$F13,R$7&lt;=$F13+$G13-1),2,IF(AND($C13="Milestone",R$7&gt;=$F13,R$7&lt;=$F13+$G13-1),1,""))</f>
        <v/>
      </c>
      <c r="S13" s="152" t="str">
        <f aca="false">IF(AND($C13="Goal",S$7&gt;=$F13,S$7&lt;=$F13+$G13-1),2,IF(AND($C13="Milestone",S$7&gt;=$F13,S$7&lt;=$F13+$G13-1),1,""))</f>
        <v/>
      </c>
      <c r="T13" s="152" t="str">
        <f aca="false">IF(AND($C13="Goal",T$7&gt;=$F13,T$7&lt;=$F13+$G13-1),2,IF(AND($C13="Milestone",T$7&gt;=$F13,T$7&lt;=$F13+$G13-1),1,""))</f>
        <v/>
      </c>
      <c r="U13" s="152" t="str">
        <f aca="false">IF(AND($C13="Goal",U$7&gt;=$F13,U$7&lt;=$F13+$G13-1),2,IF(AND($C13="Milestone",U$7&gt;=$F13,U$7&lt;=$F13+$G13-1),1,""))</f>
        <v/>
      </c>
      <c r="V13" s="152" t="str">
        <f aca="false">IF(AND($C13="Goal",V$7&gt;=$F13,V$7&lt;=$F13+$G13-1),2,IF(AND($C13="Milestone",V$7&gt;=$F13,V$7&lt;=$F13+$G13-1),1,""))</f>
        <v/>
      </c>
      <c r="W13" s="152" t="str">
        <f aca="false">IF(AND($C13="Goal",W$7&gt;=$F13,W$7&lt;=$F13+$G13-1),2,IF(AND($C13="Milestone",W$7&gt;=$F13,W$7&lt;=$F13+$G13-1),1,""))</f>
        <v/>
      </c>
      <c r="X13" s="152" t="str">
        <f aca="false">IF(AND($C13="Goal",X$7&gt;=$F13,X$7&lt;=$F13+$G13-1),2,IF(AND($C13="Milestone",X$7&gt;=$F13,X$7&lt;=$F13+$G13-1),1,""))</f>
        <v/>
      </c>
      <c r="Y13" s="152" t="str">
        <f aca="false">IF(AND($C13="Goal",Y$7&gt;=$F13,Y$7&lt;=$F13+$G13-1),2,IF(AND($C13="Milestone",Y$7&gt;=$F13,Y$7&lt;=$F13+$G13-1),1,""))</f>
        <v/>
      </c>
      <c r="Z13" s="152" t="str">
        <f aca="false">IF(AND($C13="Goal",Z$7&gt;=$F13,Z$7&lt;=$F13+$G13-1),2,IF(AND($C13="Milestone",Z$7&gt;=$F13,Z$7&lt;=$F13+$G13-1),1,""))</f>
        <v/>
      </c>
      <c r="AA13" s="152" t="str">
        <f aca="false">IF(AND($C13="Goal",AA$7&gt;=$F13,AA$7&lt;=$F13+$G13-1),2,IF(AND($C13="Milestone",AA$7&gt;=$F13,AA$7&lt;=$F13+$G13-1),1,""))</f>
        <v/>
      </c>
      <c r="AB13" s="152" t="str">
        <f aca="false">IF(AND($C13="Goal",AB$7&gt;=$F13,AB$7&lt;=$F13+$G13-1),2,IF(AND($C13="Milestone",AB$7&gt;=$F13,AB$7&lt;=$F13+$G13-1),1,""))</f>
        <v/>
      </c>
      <c r="AC13" s="152" t="str">
        <f aca="false">IF(AND($C13="Goal",AC$7&gt;=$F13,AC$7&lt;=$F13+$G13-1),2,IF(AND($C13="Milestone",AC$7&gt;=$F13,AC$7&lt;=$F13+$G13-1),1,""))</f>
        <v/>
      </c>
      <c r="AD13" s="152" t="str">
        <f aca="false">IF(AND($C13="Goal",AD$7&gt;=$F13,AD$7&lt;=$F13+$G13-1),2,IF(AND($C13="Milestone",AD$7&gt;=$F13,AD$7&lt;=$F13+$G13-1),1,""))</f>
        <v/>
      </c>
      <c r="AE13" s="152" t="str">
        <f aca="false">IF(AND($C13="Goal",AE$7&gt;=$F13,AE$7&lt;=$F13+$G13-1),2,IF(AND($C13="Milestone",AE$7&gt;=$F13,AE$7&lt;=$F13+$G13-1),1,""))</f>
        <v/>
      </c>
      <c r="AF13" s="152" t="str">
        <f aca="false">IF(AND($C13="Goal",AF$7&gt;=$F13,AF$7&lt;=$F13+$G13-1),2,IF(AND($C13="Milestone",AF$7&gt;=$F13,AF$7&lt;=$F13+$G13-1),1,""))</f>
        <v/>
      </c>
      <c r="AG13" s="152" t="str">
        <f aca="false">IF(AND($C13="Goal",AG$7&gt;=$F13,AG$7&lt;=$F13+$G13-1),2,IF(AND($C13="Milestone",AG$7&gt;=$F13,AG$7&lt;=$F13+$G13-1),1,""))</f>
        <v/>
      </c>
      <c r="AH13" s="152" t="str">
        <f aca="false">IF(AND($C13="Goal",AH$7&gt;=$F13,AH$7&lt;=$F13+$G13-1),2,IF(AND($C13="Milestone",AH$7&gt;=$F13,AH$7&lt;=$F13+$G13-1),1,""))</f>
        <v/>
      </c>
      <c r="AI13" s="152" t="str">
        <f aca="false">IF(AND($C13="Goal",AI$7&gt;=$F13,AI$7&lt;=$F13+$G13-1),2,IF(AND($C13="Milestone",AI$7&gt;=$F13,AI$7&lt;=$F13+$G13-1),1,""))</f>
        <v/>
      </c>
      <c r="AJ13" s="152" t="str">
        <f aca="false">IF(AND($C13="Goal",AJ$7&gt;=$F13,AJ$7&lt;=$F13+$G13-1),2,IF(AND($C13="Milestone",AJ$7&gt;=$F13,AJ$7&lt;=$F13+$G13-1),1,""))</f>
        <v/>
      </c>
      <c r="AK13" s="152" t="str">
        <f aca="false">IF(AND($C13="Goal",AK$7&gt;=$F13,AK$7&lt;=$F13+$G13-1),2,IF(AND($C13="Milestone",AK$7&gt;=$F13,AK$7&lt;=$F13+$G13-1),1,""))</f>
        <v/>
      </c>
      <c r="AL13" s="152" t="str">
        <f aca="false">IF(AND($C13="Goal",AL$7&gt;=$F13,AL$7&lt;=$F13+$G13-1),2,IF(AND($C13="Milestone",AL$7&gt;=$F13,AL$7&lt;=$F13+$G13-1),1,""))</f>
        <v/>
      </c>
      <c r="AM13" s="152" t="str">
        <f aca="false">IF(AND($C13="Goal",AM$7&gt;=$F13,AM$7&lt;=$F13+$G13-1),2,IF(AND($C13="Milestone",AM$7&gt;=$F13,AM$7&lt;=$F13+$G13-1),1,""))</f>
        <v/>
      </c>
      <c r="AN13" s="152" t="str">
        <f aca="false">IF(AND($C13="Goal",AN$7&gt;=$F13,AN$7&lt;=$F13+$G13-1),2,IF(AND($C13="Milestone",AN$7&gt;=$F13,AN$7&lt;=$F13+$G13-1),1,""))</f>
        <v/>
      </c>
      <c r="AO13" s="152" t="str">
        <f aca="false">IF(AND($C13="Goal",AO$7&gt;=$F13,AO$7&lt;=$F13+$G13-1),2,IF(AND($C13="Milestone",AO$7&gt;=$F13,AO$7&lt;=$F13+$G13-1),1,""))</f>
        <v/>
      </c>
      <c r="AP13" s="152" t="str">
        <f aca="false">IF(AND($C13="Goal",AP$7&gt;=$F13,AP$7&lt;=$F13+$G13-1),2,IF(AND($C13="Milestone",AP$7&gt;=$F13,AP$7&lt;=$F13+$G13-1),1,""))</f>
        <v/>
      </c>
      <c r="AQ13" s="152" t="str">
        <f aca="false">IF(AND($C13="Goal",AQ$7&gt;=$F13,AQ$7&lt;=$F13+$G13-1),2,IF(AND($C13="Milestone",AQ$7&gt;=$F13,AQ$7&lt;=$F13+$G13-1),1,""))</f>
        <v/>
      </c>
      <c r="AR13" s="152" t="str">
        <f aca="false">IF(AND($C13="Goal",AR$7&gt;=$F13,AR$7&lt;=$F13+$G13-1),2,IF(AND($C13="Milestone",AR$7&gt;=$F13,AR$7&lt;=$F13+$G13-1),1,""))</f>
        <v/>
      </c>
      <c r="AS13" s="152" t="str">
        <f aca="false">IF(AND($C13="Goal",AS$7&gt;=$F13,AS$7&lt;=$F13+$G13-1),2,IF(AND($C13="Milestone",AS$7&gt;=$F13,AS$7&lt;=$F13+$G13-1),1,""))</f>
        <v/>
      </c>
      <c r="AT13" s="152" t="str">
        <f aca="false">IF(AND($C13="Goal",AT$7&gt;=$F13,AT$7&lt;=$F13+$G13-1),2,IF(AND($C13="Milestone",AT$7&gt;=$F13,AT$7&lt;=$F13+$G13-1),1,""))</f>
        <v/>
      </c>
      <c r="AU13" s="152" t="str">
        <f aca="false">IF(AND($C13="Goal",AU$7&gt;=$F13,AU$7&lt;=$F13+$G13-1),2,IF(AND($C13="Milestone",AU$7&gt;=$F13,AU$7&lt;=$F13+$G13-1),1,""))</f>
        <v/>
      </c>
      <c r="AV13" s="152" t="str">
        <f aca="false">IF(AND($C13="Goal",AV$7&gt;=$F13,AV$7&lt;=$F13+$G13-1),2,IF(AND($C13="Milestone",AV$7&gt;=$F13,AV$7&lt;=$F13+$G13-1),1,""))</f>
        <v/>
      </c>
      <c r="AW13" s="152" t="str">
        <f aca="false">IF(AND($C13="Goal",AW$7&gt;=$F13,AW$7&lt;=$F13+$G13-1),2,IF(AND($C13="Milestone",AW$7&gt;=$F13,AW$7&lt;=$F13+$G13-1),1,""))</f>
        <v/>
      </c>
      <c r="AX13" s="152" t="str">
        <f aca="false">IF(AND($C13="Goal",AX$7&gt;=$F13,AX$7&lt;=$F13+$G13-1),2,IF(AND($C13="Milestone",AX$7&gt;=$F13,AX$7&lt;=$F13+$G13-1),1,""))</f>
        <v/>
      </c>
      <c r="AY13" s="152" t="str">
        <f aca="false">IF(AND($C13="Goal",AY$7&gt;=$F13,AY$7&lt;=$F13+$G13-1),2,IF(AND($C13="Milestone",AY$7&gt;=$F13,AY$7&lt;=$F13+$G13-1),1,""))</f>
        <v/>
      </c>
      <c r="AZ13" s="152" t="str">
        <f aca="false">IF(AND($C13="Goal",AZ$7&gt;=$F13,AZ$7&lt;=$F13+$G13-1),2,IF(AND($C13="Milestone",AZ$7&gt;=$F13,AZ$7&lt;=$F13+$G13-1),1,""))</f>
        <v/>
      </c>
      <c r="BA13" s="152" t="str">
        <f aca="false">IF(AND($C13="Goal",BA$7&gt;=$F13,BA$7&lt;=$F13+$G13-1),2,IF(AND($C13="Milestone",BA$7&gt;=$F13,BA$7&lt;=$F13+$G13-1),1,""))</f>
        <v/>
      </c>
      <c r="BB13" s="152" t="str">
        <f aca="false">IF(AND($C13="Goal",BB$7&gt;=$F13,BB$7&lt;=$F13+$G13-1),2,IF(AND($C13="Milestone",BB$7&gt;=$F13,BB$7&lt;=$F13+$G13-1),1,""))</f>
        <v/>
      </c>
      <c r="BC13" s="152" t="str">
        <f aca="false">IF(AND($C13="Goal",BC$7&gt;=$F13,BC$7&lt;=$F13+$G13-1),2,IF(AND($C13="Milestone",BC$7&gt;=$F13,BC$7&lt;=$F13+$G13-1),1,""))</f>
        <v/>
      </c>
      <c r="BD13" s="152" t="str">
        <f aca="false">IF(AND($C13="Goal",BD$7&gt;=$F13,BD$7&lt;=$F13+$G13-1),2,IF(AND($C13="Milestone",BD$7&gt;=$F13,BD$7&lt;=$F13+$G13-1),1,""))</f>
        <v/>
      </c>
      <c r="BE13" s="152" t="str">
        <f aca="false">IF(AND($C13="Goal",BE$7&gt;=$F13,BE$7&lt;=$F13+$G13-1),2,IF(AND($C13="Milestone",BE$7&gt;=$F13,BE$7&lt;=$F13+$G13-1),1,""))</f>
        <v/>
      </c>
      <c r="BF13" s="152" t="str">
        <f aca="false">IF(AND($C13="Goal",BF$7&gt;=$F13,BF$7&lt;=$F13+$G13-1),2,IF(AND($C13="Milestone",BF$7&gt;=$F13,BF$7&lt;=$F13+$G13-1),1,""))</f>
        <v/>
      </c>
      <c r="BG13" s="152" t="str">
        <f aca="false">IF(AND($C13="Goal",BG$7&gt;=$F13,BG$7&lt;=$F13+$G13-1),2,IF(AND($C13="Milestone",BG$7&gt;=$F13,BG$7&lt;=$F13+$G13-1),1,""))</f>
        <v/>
      </c>
      <c r="BH13" s="152" t="str">
        <f aca="false">IF(AND($C13="Goal",BH$7&gt;=$F13,BH$7&lt;=$F13+$G13-1),2,IF(AND($C13="Milestone",BH$7&gt;=$F13,BH$7&lt;=$F13+$G13-1),1,""))</f>
        <v/>
      </c>
      <c r="BI13" s="152" t="str">
        <f aca="false">IF(AND($C13="Goal",BI$7&gt;=$F13,BI$7&lt;=$F13+$G13-1),2,IF(AND($C13="Milestone",BI$7&gt;=$F13,BI$7&lt;=$F13+$G13-1),1,""))</f>
        <v/>
      </c>
      <c r="BJ13" s="152" t="str">
        <f aca="false">IF(AND($C13="Goal",BJ$7&gt;=$F13,BJ$7&lt;=$F13+$G13-1),2,IF(AND($C13="Milestone",BJ$7&gt;=$F13,BJ$7&lt;=$F13+$G13-1),1,""))</f>
        <v/>
      </c>
      <c r="BK13" s="152" t="str">
        <f aca="false">IF(AND($C13="Goal",BK$7&gt;=$F13,BK$7&lt;=$F13+$G13-1),2,IF(AND($C13="Milestone",BK$7&gt;=$F13,BK$7&lt;=$F13+$G13-1),1,""))</f>
        <v/>
      </c>
      <c r="BL13" s="152" t="str">
        <f aca="false">IF(AND($C13="Goal",BL$7&gt;=$F13,BL$7&lt;=$F13+$G13-1),2,IF(AND($C13="Milestone",BL$7&gt;=$F13,BL$7&lt;=$F13+$G13-1),1,""))</f>
        <v/>
      </c>
      <c r="BM13" s="114"/>
    </row>
    <row r="14" s="25" customFormat="true" ht="39.75" hidden="false" customHeight="true" outlineLevel="0" collapsed="false">
      <c r="A14" s="13"/>
      <c r="B14" s="153" t="s">
        <v>86</v>
      </c>
      <c r="C14" s="146" t="s">
        <v>23</v>
      </c>
      <c r="D14" s="146"/>
      <c r="E14" s="147" t="n">
        <v>0.5</v>
      </c>
      <c r="F14" s="148" t="n">
        <f aca="false">F12-3</f>
        <v>45962</v>
      </c>
      <c r="G14" s="149" t="n">
        <v>10</v>
      </c>
      <c r="H14" s="150"/>
      <c r="I14" s="151" t="str">
        <f aca="false">IF(AND($C14="Goal",I$7&gt;=$F14,I$7&lt;=$F14+$G14-1),2,IF(AND($C14="Milestone",I$7&gt;=$F14,I$7&lt;=$F14+$G14-1),1,""))</f>
        <v/>
      </c>
      <c r="J14" s="152" t="str">
        <f aca="false">IF(AND($C14="Goal",J$7&gt;=$F14,J$7&lt;=$F14+$G14-1),2,IF(AND($C14="Milestone",J$7&gt;=$F14,J$7&lt;=$F14+$G14-1),1,""))</f>
        <v/>
      </c>
      <c r="K14" s="152" t="str">
        <f aca="false">IF(AND($C14="Goal",K$7&gt;=$F14,K$7&lt;=$F14+$G14-1),2,IF(AND($C14="Milestone",K$7&gt;=$F14,K$7&lt;=$F14+$G14-1),1,""))</f>
        <v/>
      </c>
      <c r="L14" s="152" t="str">
        <f aca="false">IF(AND($C14="Goal",L$7&gt;=$F14,L$7&lt;=$F14+$G14-1),2,IF(AND($C14="Milestone",L$7&gt;=$F14,L$7&lt;=$F14+$G14-1),1,""))</f>
        <v/>
      </c>
      <c r="M14" s="152" t="str">
        <f aca="false">IF(AND($C14="Goal",M$7&gt;=$F14,M$7&lt;=$F14+$G14-1),2,IF(AND($C14="Milestone",M$7&gt;=$F14,M$7&lt;=$F14+$G14-1),1,""))</f>
        <v/>
      </c>
      <c r="N14" s="152" t="str">
        <f aca="false">IF(AND($C14="Goal",N$7&gt;=$F14,N$7&lt;=$F14+$G14-1),2,IF(AND($C14="Milestone",N$7&gt;=$F14,N$7&lt;=$F14+$G14-1),1,""))</f>
        <v/>
      </c>
      <c r="O14" s="152" t="str">
        <f aca="false">IF(AND($C14="Goal",O$7&gt;=$F14,O$7&lt;=$F14+$G14-1),2,IF(AND($C14="Milestone",O$7&gt;=$F14,O$7&lt;=$F14+$G14-1),1,""))</f>
        <v/>
      </c>
      <c r="P14" s="152" t="str">
        <f aca="false">IF(AND($C14="Goal",P$7&gt;=$F14,P$7&lt;=$F14+$G14-1),2,IF(AND($C14="Milestone",P$7&gt;=$F14,P$7&lt;=$F14+$G14-1),1,""))</f>
        <v/>
      </c>
      <c r="Q14" s="152" t="str">
        <f aca="false">IF(AND($C14="Goal",Q$7&gt;=$F14,Q$7&lt;=$F14+$G14-1),2,IF(AND($C14="Milestone",Q$7&gt;=$F14,Q$7&lt;=$F14+$G14-1),1,""))</f>
        <v/>
      </c>
      <c r="R14" s="152" t="str">
        <f aca="false">IF(AND($C14="Goal",R$7&gt;=$F14,R$7&lt;=$F14+$G14-1),2,IF(AND($C14="Milestone",R$7&gt;=$F14,R$7&lt;=$F14+$G14-1),1,""))</f>
        <v/>
      </c>
      <c r="S14" s="152" t="str">
        <f aca="false">IF(AND($C14="Goal",S$7&gt;=$F14,S$7&lt;=$F14+$G14-1),2,IF(AND($C14="Milestone",S$7&gt;=$F14,S$7&lt;=$F14+$G14-1),1,""))</f>
        <v/>
      </c>
      <c r="T14" s="152" t="str">
        <f aca="false">IF(AND($C14="Goal",T$7&gt;=$F14,T$7&lt;=$F14+$G14-1),2,IF(AND($C14="Milestone",T$7&gt;=$F14,T$7&lt;=$F14+$G14-1),1,""))</f>
        <v/>
      </c>
      <c r="U14" s="152" t="str">
        <f aca="false">IF(AND($C14="Goal",U$7&gt;=$F14,U$7&lt;=$F14+$G14-1),2,IF(AND($C14="Milestone",U$7&gt;=$F14,U$7&lt;=$F14+$G14-1),1,""))</f>
        <v/>
      </c>
      <c r="V14" s="152" t="str">
        <f aca="false">IF(AND($C14="Goal",V$7&gt;=$F14,V$7&lt;=$F14+$G14-1),2,IF(AND($C14="Milestone",V$7&gt;=$F14,V$7&lt;=$F14+$G14-1),1,""))</f>
        <v/>
      </c>
      <c r="W14" s="152" t="str">
        <f aca="false">IF(AND($C14="Goal",W$7&gt;=$F14,W$7&lt;=$F14+$G14-1),2,IF(AND($C14="Milestone",W$7&gt;=$F14,W$7&lt;=$F14+$G14-1),1,""))</f>
        <v/>
      </c>
      <c r="X14" s="152" t="str">
        <f aca="false">IF(AND($C14="Goal",X$7&gt;=$F14,X$7&lt;=$F14+$G14-1),2,IF(AND($C14="Milestone",X$7&gt;=$F14,X$7&lt;=$F14+$G14-1),1,""))</f>
        <v/>
      </c>
      <c r="Y14" s="152" t="str">
        <f aca="false">IF(AND($C14="Goal",Y$7&gt;=$F14,Y$7&lt;=$F14+$G14-1),2,IF(AND($C14="Milestone",Y$7&gt;=$F14,Y$7&lt;=$F14+$G14-1),1,""))</f>
        <v/>
      </c>
      <c r="Z14" s="152" t="str">
        <f aca="false">IF(AND($C14="Goal",Z$7&gt;=$F14,Z$7&lt;=$F14+$G14-1),2,IF(AND($C14="Milestone",Z$7&gt;=$F14,Z$7&lt;=$F14+$G14-1),1,""))</f>
        <v/>
      </c>
      <c r="AA14" s="152" t="str">
        <f aca="false">IF(AND($C14="Goal",AA$7&gt;=$F14,AA$7&lt;=$F14+$G14-1),2,IF(AND($C14="Milestone",AA$7&gt;=$F14,AA$7&lt;=$F14+$G14-1),1,""))</f>
        <v/>
      </c>
      <c r="AB14" s="152" t="str">
        <f aca="false">IF(AND($C14="Goal",AB$7&gt;=$F14,AB$7&lt;=$F14+$G14-1),2,IF(AND($C14="Milestone",AB$7&gt;=$F14,AB$7&lt;=$F14+$G14-1),1,""))</f>
        <v/>
      </c>
      <c r="AC14" s="152" t="str">
        <f aca="false">IF(AND($C14="Goal",AC$7&gt;=$F14,AC$7&lt;=$F14+$G14-1),2,IF(AND($C14="Milestone",AC$7&gt;=$F14,AC$7&lt;=$F14+$G14-1),1,""))</f>
        <v/>
      </c>
      <c r="AD14" s="152" t="str">
        <f aca="false">IF(AND($C14="Goal",AD$7&gt;=$F14,AD$7&lt;=$F14+$G14-1),2,IF(AND($C14="Milestone",AD$7&gt;=$F14,AD$7&lt;=$F14+$G14-1),1,""))</f>
        <v/>
      </c>
      <c r="AE14" s="152" t="str">
        <f aca="false">IF(AND($C14="Goal",AE$7&gt;=$F14,AE$7&lt;=$F14+$G14-1),2,IF(AND($C14="Milestone",AE$7&gt;=$F14,AE$7&lt;=$F14+$G14-1),1,""))</f>
        <v/>
      </c>
      <c r="AF14" s="152" t="str">
        <f aca="false">IF(AND($C14="Goal",AF$7&gt;=$F14,AF$7&lt;=$F14+$G14-1),2,IF(AND($C14="Milestone",AF$7&gt;=$F14,AF$7&lt;=$F14+$G14-1),1,""))</f>
        <v/>
      </c>
      <c r="AG14" s="152" t="str">
        <f aca="false">IF(AND($C14="Goal",AG$7&gt;=$F14,AG$7&lt;=$F14+$G14-1),2,IF(AND($C14="Milestone",AG$7&gt;=$F14,AG$7&lt;=$F14+$G14-1),1,""))</f>
        <v/>
      </c>
      <c r="AH14" s="152" t="str">
        <f aca="false">IF(AND($C14="Goal",AH$7&gt;=$F14,AH$7&lt;=$F14+$G14-1),2,IF(AND($C14="Milestone",AH$7&gt;=$F14,AH$7&lt;=$F14+$G14-1),1,""))</f>
        <v/>
      </c>
      <c r="AI14" s="152" t="str">
        <f aca="false">IF(AND($C14="Goal",AI$7&gt;=$F14,AI$7&lt;=$F14+$G14-1),2,IF(AND($C14="Milestone",AI$7&gt;=$F14,AI$7&lt;=$F14+$G14-1),1,""))</f>
        <v/>
      </c>
      <c r="AJ14" s="152" t="str">
        <f aca="false">IF(AND($C14="Goal",AJ$7&gt;=$F14,AJ$7&lt;=$F14+$G14-1),2,IF(AND($C14="Milestone",AJ$7&gt;=$F14,AJ$7&lt;=$F14+$G14-1),1,""))</f>
        <v/>
      </c>
      <c r="AK14" s="152" t="str">
        <f aca="false">IF(AND($C14="Goal",AK$7&gt;=$F14,AK$7&lt;=$F14+$G14-1),2,IF(AND($C14="Milestone",AK$7&gt;=$F14,AK$7&lt;=$F14+$G14-1),1,""))</f>
        <v/>
      </c>
      <c r="AL14" s="152" t="str">
        <f aca="false">IF(AND($C14="Goal",AL$7&gt;=$F14,AL$7&lt;=$F14+$G14-1),2,IF(AND($C14="Milestone",AL$7&gt;=$F14,AL$7&lt;=$F14+$G14-1),1,""))</f>
        <v/>
      </c>
      <c r="AM14" s="152" t="str">
        <f aca="false">IF(AND($C14="Goal",AM$7&gt;=$F14,AM$7&lt;=$F14+$G14-1),2,IF(AND($C14="Milestone",AM$7&gt;=$F14,AM$7&lt;=$F14+$G14-1),1,""))</f>
        <v/>
      </c>
      <c r="AN14" s="152" t="str">
        <f aca="false">IF(AND($C14="Goal",AN$7&gt;=$F14,AN$7&lt;=$F14+$G14-1),2,IF(AND($C14="Milestone",AN$7&gt;=$F14,AN$7&lt;=$F14+$G14-1),1,""))</f>
        <v/>
      </c>
      <c r="AO14" s="152" t="str">
        <f aca="false">IF(AND($C14="Goal",AO$7&gt;=$F14,AO$7&lt;=$F14+$G14-1),2,IF(AND($C14="Milestone",AO$7&gt;=$F14,AO$7&lt;=$F14+$G14-1),1,""))</f>
        <v/>
      </c>
      <c r="AP14" s="152" t="str">
        <f aca="false">IF(AND($C14="Goal",AP$7&gt;=$F14,AP$7&lt;=$F14+$G14-1),2,IF(AND($C14="Milestone",AP$7&gt;=$F14,AP$7&lt;=$F14+$G14-1),1,""))</f>
        <v/>
      </c>
      <c r="AQ14" s="152" t="str">
        <f aca="false">IF(AND($C14="Goal",AQ$7&gt;=$F14,AQ$7&lt;=$F14+$G14-1),2,IF(AND($C14="Milestone",AQ$7&gt;=$F14,AQ$7&lt;=$F14+$G14-1),1,""))</f>
        <v/>
      </c>
      <c r="AR14" s="152" t="str">
        <f aca="false">IF(AND($C14="Goal",AR$7&gt;=$F14,AR$7&lt;=$F14+$G14-1),2,IF(AND($C14="Milestone",AR$7&gt;=$F14,AR$7&lt;=$F14+$G14-1),1,""))</f>
        <v/>
      </c>
      <c r="AS14" s="152" t="str">
        <f aca="false">IF(AND($C14="Goal",AS$7&gt;=$F14,AS$7&lt;=$F14+$G14-1),2,IF(AND($C14="Milestone",AS$7&gt;=$F14,AS$7&lt;=$F14+$G14-1),1,""))</f>
        <v/>
      </c>
      <c r="AT14" s="152" t="str">
        <f aca="false">IF(AND($C14="Goal",AT$7&gt;=$F14,AT$7&lt;=$F14+$G14-1),2,IF(AND($C14="Milestone",AT$7&gt;=$F14,AT$7&lt;=$F14+$G14-1),1,""))</f>
        <v/>
      </c>
      <c r="AU14" s="152" t="str">
        <f aca="false">IF(AND($C14="Goal",AU$7&gt;=$F14,AU$7&lt;=$F14+$G14-1),2,IF(AND($C14="Milestone",AU$7&gt;=$F14,AU$7&lt;=$F14+$G14-1),1,""))</f>
        <v/>
      </c>
      <c r="AV14" s="152" t="str">
        <f aca="false">IF(AND($C14="Goal",AV$7&gt;=$F14,AV$7&lt;=$F14+$G14-1),2,IF(AND($C14="Milestone",AV$7&gt;=$F14,AV$7&lt;=$F14+$G14-1),1,""))</f>
        <v/>
      </c>
      <c r="AW14" s="152" t="str">
        <f aca="false">IF(AND($C14="Goal",AW$7&gt;=$F14,AW$7&lt;=$F14+$G14-1),2,IF(AND($C14="Milestone",AW$7&gt;=$F14,AW$7&lt;=$F14+$G14-1),1,""))</f>
        <v/>
      </c>
      <c r="AX14" s="152" t="str">
        <f aca="false">IF(AND($C14="Goal",AX$7&gt;=$F14,AX$7&lt;=$F14+$G14-1),2,IF(AND($C14="Milestone",AX$7&gt;=$F14,AX$7&lt;=$F14+$G14-1),1,""))</f>
        <v/>
      </c>
      <c r="AY14" s="152" t="str">
        <f aca="false">IF(AND($C14="Goal",AY$7&gt;=$F14,AY$7&lt;=$F14+$G14-1),2,IF(AND($C14="Milestone",AY$7&gt;=$F14,AY$7&lt;=$F14+$G14-1),1,""))</f>
        <v/>
      </c>
      <c r="AZ14" s="152" t="str">
        <f aca="false">IF(AND($C14="Goal",AZ$7&gt;=$F14,AZ$7&lt;=$F14+$G14-1),2,IF(AND($C14="Milestone",AZ$7&gt;=$F14,AZ$7&lt;=$F14+$G14-1),1,""))</f>
        <v/>
      </c>
      <c r="BA14" s="152" t="str">
        <f aca="false">IF(AND($C14="Goal",BA$7&gt;=$F14,BA$7&lt;=$F14+$G14-1),2,IF(AND($C14="Milestone",BA$7&gt;=$F14,BA$7&lt;=$F14+$G14-1),1,""))</f>
        <v/>
      </c>
      <c r="BB14" s="152" t="str">
        <f aca="false">IF(AND($C14="Goal",BB$7&gt;=$F14,BB$7&lt;=$F14+$G14-1),2,IF(AND($C14="Milestone",BB$7&gt;=$F14,BB$7&lt;=$F14+$G14-1),1,""))</f>
        <v/>
      </c>
      <c r="BC14" s="152" t="str">
        <f aca="false">IF(AND($C14="Goal",BC$7&gt;=$F14,BC$7&lt;=$F14+$G14-1),2,IF(AND($C14="Milestone",BC$7&gt;=$F14,BC$7&lt;=$F14+$G14-1),1,""))</f>
        <v/>
      </c>
      <c r="BD14" s="152" t="str">
        <f aca="false">IF(AND($C14="Goal",BD$7&gt;=$F14,BD$7&lt;=$F14+$G14-1),2,IF(AND($C14="Milestone",BD$7&gt;=$F14,BD$7&lt;=$F14+$G14-1),1,""))</f>
        <v/>
      </c>
      <c r="BE14" s="152" t="str">
        <f aca="false">IF(AND($C14="Goal",BE$7&gt;=$F14,BE$7&lt;=$F14+$G14-1),2,IF(AND($C14="Milestone",BE$7&gt;=$F14,BE$7&lt;=$F14+$G14-1),1,""))</f>
        <v/>
      </c>
      <c r="BF14" s="152" t="str">
        <f aca="false">IF(AND($C14="Goal",BF$7&gt;=$F14,BF$7&lt;=$F14+$G14-1),2,IF(AND($C14="Milestone",BF$7&gt;=$F14,BF$7&lt;=$F14+$G14-1),1,""))</f>
        <v/>
      </c>
      <c r="BG14" s="152" t="str">
        <f aca="false">IF(AND($C14="Goal",BG$7&gt;=$F14,BG$7&lt;=$F14+$G14-1),2,IF(AND($C14="Milestone",BG$7&gt;=$F14,BG$7&lt;=$F14+$G14-1),1,""))</f>
        <v/>
      </c>
      <c r="BH14" s="152" t="str">
        <f aca="false">IF(AND($C14="Goal",BH$7&gt;=$F14,BH$7&lt;=$F14+$G14-1),2,IF(AND($C14="Milestone",BH$7&gt;=$F14,BH$7&lt;=$F14+$G14-1),1,""))</f>
        <v/>
      </c>
      <c r="BI14" s="152" t="str">
        <f aca="false">IF(AND($C14="Goal",BI$7&gt;=$F14,BI$7&lt;=$F14+$G14-1),2,IF(AND($C14="Milestone",BI$7&gt;=$F14,BI$7&lt;=$F14+$G14-1),1,""))</f>
        <v/>
      </c>
      <c r="BJ14" s="152" t="str">
        <f aca="false">IF(AND($C14="Goal",BJ$7&gt;=$F14,BJ$7&lt;=$F14+$G14-1),2,IF(AND($C14="Milestone",BJ$7&gt;=$F14,BJ$7&lt;=$F14+$G14-1),1,""))</f>
        <v/>
      </c>
      <c r="BK14" s="152" t="str">
        <f aca="false">IF(AND($C14="Goal",BK$7&gt;=$F14,BK$7&lt;=$F14+$G14-1),2,IF(AND($C14="Milestone",BK$7&gt;=$F14,BK$7&lt;=$F14+$G14-1),1,""))</f>
        <v/>
      </c>
      <c r="BL14" s="152" t="str">
        <f aca="false">IF(AND($C14="Goal",BL$7&gt;=$F14,BL$7&lt;=$F14+$G14-1),2,IF(AND($C14="Milestone",BL$7&gt;=$F14,BL$7&lt;=$F14+$G14-1),1,""))</f>
        <v/>
      </c>
      <c r="BM14" s="114"/>
    </row>
    <row r="15" s="25" customFormat="true" ht="39.75" hidden="false" customHeight="true" outlineLevel="0" collapsed="false">
      <c r="A15" s="13"/>
      <c r="B15" s="153" t="s">
        <v>87</v>
      </c>
      <c r="C15" s="146" t="s">
        <v>85</v>
      </c>
      <c r="D15" s="146"/>
      <c r="E15" s="147"/>
      <c r="F15" s="148" t="n">
        <f aca="false">F12+20</f>
        <v>45985</v>
      </c>
      <c r="G15" s="149" t="n">
        <v>1</v>
      </c>
      <c r="H15" s="150"/>
      <c r="I15" s="151" t="str">
        <f aca="false">IF(AND($C15="Goal",I$7&gt;=$F15,I$7&lt;=$F15+$G15-1),2,IF(AND($C15="Milestone",I$7&gt;=$F15,I$7&lt;=$F15+$G15-1),1,""))</f>
        <v/>
      </c>
      <c r="J15" s="152" t="str">
        <f aca="false">IF(AND($C15="Goal",J$7&gt;=$F15,J$7&lt;=$F15+$G15-1),2,IF(AND($C15="Milestone",J$7&gt;=$F15,J$7&lt;=$F15+$G15-1),1,""))</f>
        <v/>
      </c>
      <c r="K15" s="152" t="str">
        <f aca="false">IF(AND($C15="Goal",K$7&gt;=$F15,K$7&lt;=$F15+$G15-1),2,IF(AND($C15="Milestone",K$7&gt;=$F15,K$7&lt;=$F15+$G15-1),1,""))</f>
        <v/>
      </c>
      <c r="L15" s="152" t="str">
        <f aca="false">IF(AND($C15="Goal",L$7&gt;=$F15,L$7&lt;=$F15+$G15-1),2,IF(AND($C15="Milestone",L$7&gt;=$F15,L$7&lt;=$F15+$G15-1),1,""))</f>
        <v/>
      </c>
      <c r="M15" s="152" t="str">
        <f aca="false">IF(AND($C15="Goal",M$7&gt;=$F15,M$7&lt;=$F15+$G15-1),2,IF(AND($C15="Milestone",M$7&gt;=$F15,M$7&lt;=$F15+$G15-1),1,""))</f>
        <v/>
      </c>
      <c r="N15" s="152" t="str">
        <f aca="false">IF(AND($C15="Goal",N$7&gt;=$F15,N$7&lt;=$F15+$G15-1),2,IF(AND($C15="Milestone",N$7&gt;=$F15,N$7&lt;=$F15+$G15-1),1,""))</f>
        <v/>
      </c>
      <c r="O15" s="152" t="str">
        <f aca="false">IF(AND($C15="Goal",O$7&gt;=$F15,O$7&lt;=$F15+$G15-1),2,IF(AND($C15="Milestone",O$7&gt;=$F15,O$7&lt;=$F15+$G15-1),1,""))</f>
        <v/>
      </c>
      <c r="P15" s="152" t="str">
        <f aca="false">IF(AND($C15="Goal",P$7&gt;=$F15,P$7&lt;=$F15+$G15-1),2,IF(AND($C15="Milestone",P$7&gt;=$F15,P$7&lt;=$F15+$G15-1),1,""))</f>
        <v/>
      </c>
      <c r="Q15" s="152" t="str">
        <f aca="false">IF(AND($C15="Goal",Q$7&gt;=$F15,Q$7&lt;=$F15+$G15-1),2,IF(AND($C15="Milestone",Q$7&gt;=$F15,Q$7&lt;=$F15+$G15-1),1,""))</f>
        <v/>
      </c>
      <c r="R15" s="152" t="str">
        <f aca="false">IF(AND($C15="Goal",R$7&gt;=$F15,R$7&lt;=$F15+$G15-1),2,IF(AND($C15="Milestone",R$7&gt;=$F15,R$7&lt;=$F15+$G15-1),1,""))</f>
        <v/>
      </c>
      <c r="S15" s="152" t="str">
        <f aca="false">IF(AND($C15="Goal",S$7&gt;=$F15,S$7&lt;=$F15+$G15-1),2,IF(AND($C15="Milestone",S$7&gt;=$F15,S$7&lt;=$F15+$G15-1),1,""))</f>
        <v/>
      </c>
      <c r="T15" s="152" t="str">
        <f aca="false">IF(AND($C15="Goal",T$7&gt;=$F15,T$7&lt;=$F15+$G15-1),2,IF(AND($C15="Milestone",T$7&gt;=$F15,T$7&lt;=$F15+$G15-1),1,""))</f>
        <v/>
      </c>
      <c r="U15" s="152" t="str">
        <f aca="false">IF(AND($C15="Goal",U$7&gt;=$F15,U$7&lt;=$F15+$G15-1),2,IF(AND($C15="Milestone",U$7&gt;=$F15,U$7&lt;=$F15+$G15-1),1,""))</f>
        <v/>
      </c>
      <c r="V15" s="152" t="str">
        <f aca="false">IF(AND($C15="Goal",V$7&gt;=$F15,V$7&lt;=$F15+$G15-1),2,IF(AND($C15="Milestone",V$7&gt;=$F15,V$7&lt;=$F15+$G15-1),1,""))</f>
        <v/>
      </c>
      <c r="W15" s="152" t="str">
        <f aca="false">IF(AND($C15="Goal",W$7&gt;=$F15,W$7&lt;=$F15+$G15-1),2,IF(AND($C15="Milestone",W$7&gt;=$F15,W$7&lt;=$F15+$G15-1),1,""))</f>
        <v/>
      </c>
      <c r="X15" s="152" t="str">
        <f aca="false">IF(AND($C15="Goal",X$7&gt;=$F15,X$7&lt;=$F15+$G15-1),2,IF(AND($C15="Milestone",X$7&gt;=$F15,X$7&lt;=$F15+$G15-1),1,""))</f>
        <v/>
      </c>
      <c r="Y15" s="152" t="str">
        <f aca="false">IF(AND($C15="Goal",Y$7&gt;=$F15,Y$7&lt;=$F15+$G15-1),2,IF(AND($C15="Milestone",Y$7&gt;=$F15,Y$7&lt;=$F15+$G15-1),1,""))</f>
        <v/>
      </c>
      <c r="Z15" s="152" t="str">
        <f aca="false">IF(AND($C15="Goal",Z$7&gt;=$F15,Z$7&lt;=$F15+$G15-1),2,IF(AND($C15="Milestone",Z$7&gt;=$F15,Z$7&lt;=$F15+$G15-1),1,""))</f>
        <v/>
      </c>
      <c r="AA15" s="152" t="str">
        <f aca="false">IF(AND($C15="Goal",AA$7&gt;=$F15,AA$7&lt;=$F15+$G15-1),2,IF(AND($C15="Milestone",AA$7&gt;=$F15,AA$7&lt;=$F15+$G15-1),1,""))</f>
        <v/>
      </c>
      <c r="AB15" s="152" t="str">
        <f aca="false">IF(AND($C15="Goal",AB$7&gt;=$F15,AB$7&lt;=$F15+$G15-1),2,IF(AND($C15="Milestone",AB$7&gt;=$F15,AB$7&lt;=$F15+$G15-1),1,""))</f>
        <v/>
      </c>
      <c r="AC15" s="152" t="n">
        <f aca="false">IF(AND($C15="Goal",AC$7&gt;=$F15,AC$7&lt;=$F15+$G15-1),2,IF(AND($C15="Milestone",AC$7&gt;=$F15,AC$7&lt;=$F15+$G15-1),1,""))</f>
        <v>1</v>
      </c>
      <c r="AD15" s="152" t="str">
        <f aca="false">IF(AND($C15="Goal",AD$7&gt;=$F15,AD$7&lt;=$F15+$G15-1),2,IF(AND($C15="Milestone",AD$7&gt;=$F15,AD$7&lt;=$F15+$G15-1),1,""))</f>
        <v/>
      </c>
      <c r="AE15" s="152" t="str">
        <f aca="false">IF(AND($C15="Goal",AE$7&gt;=$F15,AE$7&lt;=$F15+$G15-1),2,IF(AND($C15="Milestone",AE$7&gt;=$F15,AE$7&lt;=$F15+$G15-1),1,""))</f>
        <v/>
      </c>
      <c r="AF15" s="152" t="str">
        <f aca="false">IF(AND($C15="Goal",AF$7&gt;=$F15,AF$7&lt;=$F15+$G15-1),2,IF(AND($C15="Milestone",AF$7&gt;=$F15,AF$7&lt;=$F15+$G15-1),1,""))</f>
        <v/>
      </c>
      <c r="AG15" s="152" t="str">
        <f aca="false">IF(AND($C15="Goal",AG$7&gt;=$F15,AG$7&lt;=$F15+$G15-1),2,IF(AND($C15="Milestone",AG$7&gt;=$F15,AG$7&lt;=$F15+$G15-1),1,""))</f>
        <v/>
      </c>
      <c r="AH15" s="152" t="str">
        <f aca="false">IF(AND($C15="Goal",AH$7&gt;=$F15,AH$7&lt;=$F15+$G15-1),2,IF(AND($C15="Milestone",AH$7&gt;=$F15,AH$7&lt;=$F15+$G15-1),1,""))</f>
        <v/>
      </c>
      <c r="AI15" s="152" t="str">
        <f aca="false">IF(AND($C15="Goal",AI$7&gt;=$F15,AI$7&lt;=$F15+$G15-1),2,IF(AND($C15="Milestone",AI$7&gt;=$F15,AI$7&lt;=$F15+$G15-1),1,""))</f>
        <v/>
      </c>
      <c r="AJ15" s="152" t="str">
        <f aca="false">IF(AND($C15="Goal",AJ$7&gt;=$F15,AJ$7&lt;=$F15+$G15-1),2,IF(AND($C15="Milestone",AJ$7&gt;=$F15,AJ$7&lt;=$F15+$G15-1),1,""))</f>
        <v/>
      </c>
      <c r="AK15" s="152" t="str">
        <f aca="false">IF(AND($C15="Goal",AK$7&gt;=$F15,AK$7&lt;=$F15+$G15-1),2,IF(AND($C15="Milestone",AK$7&gt;=$F15,AK$7&lt;=$F15+$G15-1),1,""))</f>
        <v/>
      </c>
      <c r="AL15" s="152" t="str">
        <f aca="false">IF(AND($C15="Goal",AL$7&gt;=$F15,AL$7&lt;=$F15+$G15-1),2,IF(AND($C15="Milestone",AL$7&gt;=$F15,AL$7&lt;=$F15+$G15-1),1,""))</f>
        <v/>
      </c>
      <c r="AM15" s="152" t="str">
        <f aca="false">IF(AND($C15="Goal",AM$7&gt;=$F15,AM$7&lt;=$F15+$G15-1),2,IF(AND($C15="Milestone",AM$7&gt;=$F15,AM$7&lt;=$F15+$G15-1),1,""))</f>
        <v/>
      </c>
      <c r="AN15" s="152" t="str">
        <f aca="false">IF(AND($C15="Goal",AN$7&gt;=$F15,AN$7&lt;=$F15+$G15-1),2,IF(AND($C15="Milestone",AN$7&gt;=$F15,AN$7&lt;=$F15+$G15-1),1,""))</f>
        <v/>
      </c>
      <c r="AO15" s="152" t="str">
        <f aca="false">IF(AND($C15="Goal",AO$7&gt;=$F15,AO$7&lt;=$F15+$G15-1),2,IF(AND($C15="Milestone",AO$7&gt;=$F15,AO$7&lt;=$F15+$G15-1),1,""))</f>
        <v/>
      </c>
      <c r="AP15" s="152" t="str">
        <f aca="false">IF(AND($C15="Goal",AP$7&gt;=$F15,AP$7&lt;=$F15+$G15-1),2,IF(AND($C15="Milestone",AP$7&gt;=$F15,AP$7&lt;=$F15+$G15-1),1,""))</f>
        <v/>
      </c>
      <c r="AQ15" s="152" t="str">
        <f aca="false">IF(AND($C15="Goal",AQ$7&gt;=$F15,AQ$7&lt;=$F15+$G15-1),2,IF(AND($C15="Milestone",AQ$7&gt;=$F15,AQ$7&lt;=$F15+$G15-1),1,""))</f>
        <v/>
      </c>
      <c r="AR15" s="152" t="str">
        <f aca="false">IF(AND($C15="Goal",AR$7&gt;=$F15,AR$7&lt;=$F15+$G15-1),2,IF(AND($C15="Milestone",AR$7&gt;=$F15,AR$7&lt;=$F15+$G15-1),1,""))</f>
        <v/>
      </c>
      <c r="AS15" s="152" t="str">
        <f aca="false">IF(AND($C15="Goal",AS$7&gt;=$F15,AS$7&lt;=$F15+$G15-1),2,IF(AND($C15="Milestone",AS$7&gt;=$F15,AS$7&lt;=$F15+$G15-1),1,""))</f>
        <v/>
      </c>
      <c r="AT15" s="152" t="str">
        <f aca="false">IF(AND($C15="Goal",AT$7&gt;=$F15,AT$7&lt;=$F15+$G15-1),2,IF(AND($C15="Milestone",AT$7&gt;=$F15,AT$7&lt;=$F15+$G15-1),1,""))</f>
        <v/>
      </c>
      <c r="AU15" s="152" t="str">
        <f aca="false">IF(AND($C15="Goal",AU$7&gt;=$F15,AU$7&lt;=$F15+$G15-1),2,IF(AND($C15="Milestone",AU$7&gt;=$F15,AU$7&lt;=$F15+$G15-1),1,""))</f>
        <v/>
      </c>
      <c r="AV15" s="152" t="str">
        <f aca="false">IF(AND($C15="Goal",AV$7&gt;=$F15,AV$7&lt;=$F15+$G15-1),2,IF(AND($C15="Milestone",AV$7&gt;=$F15,AV$7&lt;=$F15+$G15-1),1,""))</f>
        <v/>
      </c>
      <c r="AW15" s="152" t="str">
        <f aca="false">IF(AND($C15="Goal",AW$7&gt;=$F15,AW$7&lt;=$F15+$G15-1),2,IF(AND($C15="Milestone",AW$7&gt;=$F15,AW$7&lt;=$F15+$G15-1),1,""))</f>
        <v/>
      </c>
      <c r="AX15" s="152" t="str">
        <f aca="false">IF(AND($C15="Goal",AX$7&gt;=$F15,AX$7&lt;=$F15+$G15-1),2,IF(AND($C15="Milestone",AX$7&gt;=$F15,AX$7&lt;=$F15+$G15-1),1,""))</f>
        <v/>
      </c>
      <c r="AY15" s="152" t="str">
        <f aca="false">IF(AND($C15="Goal",AY$7&gt;=$F15,AY$7&lt;=$F15+$G15-1),2,IF(AND($C15="Milestone",AY$7&gt;=$F15,AY$7&lt;=$F15+$G15-1),1,""))</f>
        <v/>
      </c>
      <c r="AZ15" s="152" t="str">
        <f aca="false">IF(AND($C15="Goal",AZ$7&gt;=$F15,AZ$7&lt;=$F15+$G15-1),2,IF(AND($C15="Milestone",AZ$7&gt;=$F15,AZ$7&lt;=$F15+$G15-1),1,""))</f>
        <v/>
      </c>
      <c r="BA15" s="152" t="str">
        <f aca="false">IF(AND($C15="Goal",BA$7&gt;=$F15,BA$7&lt;=$F15+$G15-1),2,IF(AND($C15="Milestone",BA$7&gt;=$F15,BA$7&lt;=$F15+$G15-1),1,""))</f>
        <v/>
      </c>
      <c r="BB15" s="152" t="str">
        <f aca="false">IF(AND($C15="Goal",BB$7&gt;=$F15,BB$7&lt;=$F15+$G15-1),2,IF(AND($C15="Milestone",BB$7&gt;=$F15,BB$7&lt;=$F15+$G15-1),1,""))</f>
        <v/>
      </c>
      <c r="BC15" s="152" t="str">
        <f aca="false">IF(AND($C15="Goal",BC$7&gt;=$F15,BC$7&lt;=$F15+$G15-1),2,IF(AND($C15="Milestone",BC$7&gt;=$F15,BC$7&lt;=$F15+$G15-1),1,""))</f>
        <v/>
      </c>
      <c r="BD15" s="152" t="str">
        <f aca="false">IF(AND($C15="Goal",BD$7&gt;=$F15,BD$7&lt;=$F15+$G15-1),2,IF(AND($C15="Milestone",BD$7&gt;=$F15,BD$7&lt;=$F15+$G15-1),1,""))</f>
        <v/>
      </c>
      <c r="BE15" s="152" t="str">
        <f aca="false">IF(AND($C15="Goal",BE$7&gt;=$F15,BE$7&lt;=$F15+$G15-1),2,IF(AND($C15="Milestone",BE$7&gt;=$F15,BE$7&lt;=$F15+$G15-1),1,""))</f>
        <v/>
      </c>
      <c r="BF15" s="152" t="str">
        <f aca="false">IF(AND($C15="Goal",BF$7&gt;=$F15,BF$7&lt;=$F15+$G15-1),2,IF(AND($C15="Milestone",BF$7&gt;=$F15,BF$7&lt;=$F15+$G15-1),1,""))</f>
        <v/>
      </c>
      <c r="BG15" s="152" t="str">
        <f aca="false">IF(AND($C15="Goal",BG$7&gt;=$F15,BG$7&lt;=$F15+$G15-1),2,IF(AND($C15="Milestone",BG$7&gt;=$F15,BG$7&lt;=$F15+$G15-1),1,""))</f>
        <v/>
      </c>
      <c r="BH15" s="152" t="str">
        <f aca="false">IF(AND($C15="Goal",BH$7&gt;=$F15,BH$7&lt;=$F15+$G15-1),2,IF(AND($C15="Milestone",BH$7&gt;=$F15,BH$7&lt;=$F15+$G15-1),1,""))</f>
        <v/>
      </c>
      <c r="BI15" s="152" t="str">
        <f aca="false">IF(AND($C15="Goal",BI$7&gt;=$F15,BI$7&lt;=$F15+$G15-1),2,IF(AND($C15="Milestone",BI$7&gt;=$F15,BI$7&lt;=$F15+$G15-1),1,""))</f>
        <v/>
      </c>
      <c r="BJ15" s="152" t="str">
        <f aca="false">IF(AND($C15="Goal",BJ$7&gt;=$F15,BJ$7&lt;=$F15+$G15-1),2,IF(AND($C15="Milestone",BJ$7&gt;=$F15,BJ$7&lt;=$F15+$G15-1),1,""))</f>
        <v/>
      </c>
      <c r="BK15" s="152" t="str">
        <f aca="false">IF(AND($C15="Goal",BK$7&gt;=$F15,BK$7&lt;=$F15+$G15-1),2,IF(AND($C15="Milestone",BK$7&gt;=$F15,BK$7&lt;=$F15+$G15-1),1,""))</f>
        <v/>
      </c>
      <c r="BL15" s="152" t="str">
        <f aca="false">IF(AND($C15="Goal",BL$7&gt;=$F15,BL$7&lt;=$F15+$G15-1),2,IF(AND($C15="Milestone",BL$7&gt;=$F15,BL$7&lt;=$F15+$G15-1),1,""))</f>
        <v/>
      </c>
      <c r="BM15" s="114"/>
    </row>
    <row r="16" s="25" customFormat="true" ht="39.75" hidden="false" customHeight="true" outlineLevel="0" collapsed="false">
      <c r="A16" s="13"/>
      <c r="B16" s="153" t="s">
        <v>88</v>
      </c>
      <c r="C16" s="146" t="s">
        <v>20</v>
      </c>
      <c r="D16" s="146"/>
      <c r="E16" s="147" t="n">
        <v>0.1</v>
      </c>
      <c r="F16" s="148" t="n">
        <f aca="false">F12+6</f>
        <v>45971</v>
      </c>
      <c r="G16" s="149" t="n">
        <v>6</v>
      </c>
      <c r="H16" s="150"/>
      <c r="I16" s="151" t="str">
        <f aca="false">IF(AND($C16="Goal",I$7&gt;=$F16,I$7&lt;=$F16+$G16-1),2,IF(AND($C16="Milestone",I$7&gt;=$F16,I$7&lt;=$F16+$G16-1),1,""))</f>
        <v/>
      </c>
      <c r="J16" s="152" t="str">
        <f aca="false">IF(AND($C16="Goal",J$7&gt;=$F16,J$7&lt;=$F16+$G16-1),2,IF(AND($C16="Milestone",J$7&gt;=$F16,J$7&lt;=$F16+$G16-1),1,""))</f>
        <v/>
      </c>
      <c r="K16" s="152" t="str">
        <f aca="false">IF(AND($C16="Goal",K$7&gt;=$F16,K$7&lt;=$F16+$G16-1),2,IF(AND($C16="Milestone",K$7&gt;=$F16,K$7&lt;=$F16+$G16-1),1,""))</f>
        <v/>
      </c>
      <c r="L16" s="152" t="str">
        <f aca="false">IF(AND($C16="Goal",L$7&gt;=$F16,L$7&lt;=$F16+$G16-1),2,IF(AND($C16="Milestone",L$7&gt;=$F16,L$7&lt;=$F16+$G16-1),1,""))</f>
        <v/>
      </c>
      <c r="M16" s="152" t="str">
        <f aca="false">IF(AND($C16="Goal",M$7&gt;=$F16,M$7&lt;=$F16+$G16-1),2,IF(AND($C16="Milestone",M$7&gt;=$F16,M$7&lt;=$F16+$G16-1),1,""))</f>
        <v/>
      </c>
      <c r="N16" s="152" t="str">
        <f aca="false">IF(AND($C16="Goal",N$7&gt;=$F16,N$7&lt;=$F16+$G16-1),2,IF(AND($C16="Milestone",N$7&gt;=$F16,N$7&lt;=$F16+$G16-1),1,""))</f>
        <v/>
      </c>
      <c r="O16" s="152" t="str">
        <f aca="false">IF(AND($C16="Goal",O$7&gt;=$F16,O$7&lt;=$F16+$G16-1),2,IF(AND($C16="Milestone",O$7&gt;=$F16,O$7&lt;=$F16+$G16-1),1,""))</f>
        <v/>
      </c>
      <c r="P16" s="152" t="str">
        <f aca="false">IF(AND($C16="Goal",P$7&gt;=$F16,P$7&lt;=$F16+$G16-1),2,IF(AND($C16="Milestone",P$7&gt;=$F16,P$7&lt;=$F16+$G16-1),1,""))</f>
        <v/>
      </c>
      <c r="Q16" s="152" t="str">
        <f aca="false">IF(AND($C16="Goal",Q$7&gt;=$F16,Q$7&lt;=$F16+$G16-1),2,IF(AND($C16="Milestone",Q$7&gt;=$F16,Q$7&lt;=$F16+$G16-1),1,""))</f>
        <v/>
      </c>
      <c r="R16" s="152" t="str">
        <f aca="false">IF(AND($C16="Goal",R$7&gt;=$F16,R$7&lt;=$F16+$G16-1),2,IF(AND($C16="Milestone",R$7&gt;=$F16,R$7&lt;=$F16+$G16-1),1,""))</f>
        <v/>
      </c>
      <c r="S16" s="152" t="str">
        <f aca="false">IF(AND($C16="Goal",S$7&gt;=$F16,S$7&lt;=$F16+$G16-1),2,IF(AND($C16="Milestone",S$7&gt;=$F16,S$7&lt;=$F16+$G16-1),1,""))</f>
        <v/>
      </c>
      <c r="T16" s="152" t="str">
        <f aca="false">IF(AND($C16="Goal",T$7&gt;=$F16,T$7&lt;=$F16+$G16-1),2,IF(AND($C16="Milestone",T$7&gt;=$F16,T$7&lt;=$F16+$G16-1),1,""))</f>
        <v/>
      </c>
      <c r="U16" s="152" t="str">
        <f aca="false">IF(AND($C16="Goal",U$7&gt;=$F16,U$7&lt;=$F16+$G16-1),2,IF(AND($C16="Milestone",U$7&gt;=$F16,U$7&lt;=$F16+$G16-1),1,""))</f>
        <v/>
      </c>
      <c r="V16" s="152" t="str">
        <f aca="false">IF(AND($C16="Goal",V$7&gt;=$F16,V$7&lt;=$F16+$G16-1),2,IF(AND($C16="Milestone",V$7&gt;=$F16,V$7&lt;=$F16+$G16-1),1,""))</f>
        <v/>
      </c>
      <c r="W16" s="152" t="str">
        <f aca="false">IF(AND($C16="Goal",W$7&gt;=$F16,W$7&lt;=$F16+$G16-1),2,IF(AND($C16="Milestone",W$7&gt;=$F16,W$7&lt;=$F16+$G16-1),1,""))</f>
        <v/>
      </c>
      <c r="X16" s="152" t="str">
        <f aca="false">IF(AND($C16="Goal",X$7&gt;=$F16,X$7&lt;=$F16+$G16-1),2,IF(AND($C16="Milestone",X$7&gt;=$F16,X$7&lt;=$F16+$G16-1),1,""))</f>
        <v/>
      </c>
      <c r="Y16" s="152" t="str">
        <f aca="false">IF(AND($C16="Goal",Y$7&gt;=$F16,Y$7&lt;=$F16+$G16-1),2,IF(AND($C16="Milestone",Y$7&gt;=$F16,Y$7&lt;=$F16+$G16-1),1,""))</f>
        <v/>
      </c>
      <c r="Z16" s="152" t="str">
        <f aca="false">IF(AND($C16="Goal",Z$7&gt;=$F16,Z$7&lt;=$F16+$G16-1),2,IF(AND($C16="Milestone",Z$7&gt;=$F16,Z$7&lt;=$F16+$G16-1),1,""))</f>
        <v/>
      </c>
      <c r="AA16" s="152" t="str">
        <f aca="false">IF(AND($C16="Goal",AA$7&gt;=$F16,AA$7&lt;=$F16+$G16-1),2,IF(AND($C16="Milestone",AA$7&gt;=$F16,AA$7&lt;=$F16+$G16-1),1,""))</f>
        <v/>
      </c>
      <c r="AB16" s="152" t="str">
        <f aca="false">IF(AND($C16="Goal",AB$7&gt;=$F16,AB$7&lt;=$F16+$G16-1),2,IF(AND($C16="Milestone",AB$7&gt;=$F16,AB$7&lt;=$F16+$G16-1),1,""))</f>
        <v/>
      </c>
      <c r="AC16" s="152" t="str">
        <f aca="false">IF(AND($C16="Goal",AC$7&gt;=$F16,AC$7&lt;=$F16+$G16-1),2,IF(AND($C16="Milestone",AC$7&gt;=$F16,AC$7&lt;=$F16+$G16-1),1,""))</f>
        <v/>
      </c>
      <c r="AD16" s="152" t="str">
        <f aca="false">IF(AND($C16="Goal",AD$7&gt;=$F16,AD$7&lt;=$F16+$G16-1),2,IF(AND($C16="Milestone",AD$7&gt;=$F16,AD$7&lt;=$F16+$G16-1),1,""))</f>
        <v/>
      </c>
      <c r="AE16" s="152" t="str">
        <f aca="false">IF(AND($C16="Goal",AE$7&gt;=$F16,AE$7&lt;=$F16+$G16-1),2,IF(AND($C16="Milestone",AE$7&gt;=$F16,AE$7&lt;=$F16+$G16-1),1,""))</f>
        <v/>
      </c>
      <c r="AF16" s="152" t="str">
        <f aca="false">IF(AND($C16="Goal",AF$7&gt;=$F16,AF$7&lt;=$F16+$G16-1),2,IF(AND($C16="Milestone",AF$7&gt;=$F16,AF$7&lt;=$F16+$G16-1),1,""))</f>
        <v/>
      </c>
      <c r="AG16" s="152" t="str">
        <f aca="false">IF(AND($C16="Goal",AG$7&gt;=$F16,AG$7&lt;=$F16+$G16-1),2,IF(AND($C16="Milestone",AG$7&gt;=$F16,AG$7&lt;=$F16+$G16-1),1,""))</f>
        <v/>
      </c>
      <c r="AH16" s="152" t="str">
        <f aca="false">IF(AND($C16="Goal",AH$7&gt;=$F16,AH$7&lt;=$F16+$G16-1),2,IF(AND($C16="Milestone",AH$7&gt;=$F16,AH$7&lt;=$F16+$G16-1),1,""))</f>
        <v/>
      </c>
      <c r="AI16" s="152" t="str">
        <f aca="false">IF(AND($C16="Goal",AI$7&gt;=$F16,AI$7&lt;=$F16+$G16-1),2,IF(AND($C16="Milestone",AI$7&gt;=$F16,AI$7&lt;=$F16+$G16-1),1,""))</f>
        <v/>
      </c>
      <c r="AJ16" s="152" t="str">
        <f aca="false">IF(AND($C16="Goal",AJ$7&gt;=$F16,AJ$7&lt;=$F16+$G16-1),2,IF(AND($C16="Milestone",AJ$7&gt;=$F16,AJ$7&lt;=$F16+$G16-1),1,""))</f>
        <v/>
      </c>
      <c r="AK16" s="152" t="str">
        <f aca="false">IF(AND($C16="Goal",AK$7&gt;=$F16,AK$7&lt;=$F16+$G16-1),2,IF(AND($C16="Milestone",AK$7&gt;=$F16,AK$7&lt;=$F16+$G16-1),1,""))</f>
        <v/>
      </c>
      <c r="AL16" s="152" t="str">
        <f aca="false">IF(AND($C16="Goal",AL$7&gt;=$F16,AL$7&lt;=$F16+$G16-1),2,IF(AND($C16="Milestone",AL$7&gt;=$F16,AL$7&lt;=$F16+$G16-1),1,""))</f>
        <v/>
      </c>
      <c r="AM16" s="152" t="str">
        <f aca="false">IF(AND($C16="Goal",AM$7&gt;=$F16,AM$7&lt;=$F16+$G16-1),2,IF(AND($C16="Milestone",AM$7&gt;=$F16,AM$7&lt;=$F16+$G16-1),1,""))</f>
        <v/>
      </c>
      <c r="AN16" s="152" t="str">
        <f aca="false">IF(AND($C16="Goal",AN$7&gt;=$F16,AN$7&lt;=$F16+$G16-1),2,IF(AND($C16="Milestone",AN$7&gt;=$F16,AN$7&lt;=$F16+$G16-1),1,""))</f>
        <v/>
      </c>
      <c r="AO16" s="152" t="str">
        <f aca="false">IF(AND($C16="Goal",AO$7&gt;=$F16,AO$7&lt;=$F16+$G16-1),2,IF(AND($C16="Milestone",AO$7&gt;=$F16,AO$7&lt;=$F16+$G16-1),1,""))</f>
        <v/>
      </c>
      <c r="AP16" s="152" t="str">
        <f aca="false">IF(AND($C16="Goal",AP$7&gt;=$F16,AP$7&lt;=$F16+$G16-1),2,IF(AND($C16="Milestone",AP$7&gt;=$F16,AP$7&lt;=$F16+$G16-1),1,""))</f>
        <v/>
      </c>
      <c r="AQ16" s="152" t="str">
        <f aca="false">IF(AND($C16="Goal",AQ$7&gt;=$F16,AQ$7&lt;=$F16+$G16-1),2,IF(AND($C16="Milestone",AQ$7&gt;=$F16,AQ$7&lt;=$F16+$G16-1),1,""))</f>
        <v/>
      </c>
      <c r="AR16" s="152" t="str">
        <f aca="false">IF(AND($C16="Goal",AR$7&gt;=$F16,AR$7&lt;=$F16+$G16-1),2,IF(AND($C16="Milestone",AR$7&gt;=$F16,AR$7&lt;=$F16+$G16-1),1,""))</f>
        <v/>
      </c>
      <c r="AS16" s="152" t="str">
        <f aca="false">IF(AND($C16="Goal",AS$7&gt;=$F16,AS$7&lt;=$F16+$G16-1),2,IF(AND($C16="Milestone",AS$7&gt;=$F16,AS$7&lt;=$F16+$G16-1),1,""))</f>
        <v/>
      </c>
      <c r="AT16" s="152" t="str">
        <f aca="false">IF(AND($C16="Goal",AT$7&gt;=$F16,AT$7&lt;=$F16+$G16-1),2,IF(AND($C16="Milestone",AT$7&gt;=$F16,AT$7&lt;=$F16+$G16-1),1,""))</f>
        <v/>
      </c>
      <c r="AU16" s="152" t="str">
        <f aca="false">IF(AND($C16="Goal",AU$7&gt;=$F16,AU$7&lt;=$F16+$G16-1),2,IF(AND($C16="Milestone",AU$7&gt;=$F16,AU$7&lt;=$F16+$G16-1),1,""))</f>
        <v/>
      </c>
      <c r="AV16" s="152" t="str">
        <f aca="false">IF(AND($C16="Goal",AV$7&gt;=$F16,AV$7&lt;=$F16+$G16-1),2,IF(AND($C16="Milestone",AV$7&gt;=$F16,AV$7&lt;=$F16+$G16-1),1,""))</f>
        <v/>
      </c>
      <c r="AW16" s="152" t="str">
        <f aca="false">IF(AND($C16="Goal",AW$7&gt;=$F16,AW$7&lt;=$F16+$G16-1),2,IF(AND($C16="Milestone",AW$7&gt;=$F16,AW$7&lt;=$F16+$G16-1),1,""))</f>
        <v/>
      </c>
      <c r="AX16" s="152" t="str">
        <f aca="false">IF(AND($C16="Goal",AX$7&gt;=$F16,AX$7&lt;=$F16+$G16-1),2,IF(AND($C16="Milestone",AX$7&gt;=$F16,AX$7&lt;=$F16+$G16-1),1,""))</f>
        <v/>
      </c>
      <c r="AY16" s="152" t="str">
        <f aca="false">IF(AND($C16="Goal",AY$7&gt;=$F16,AY$7&lt;=$F16+$G16-1),2,IF(AND($C16="Milestone",AY$7&gt;=$F16,AY$7&lt;=$F16+$G16-1),1,""))</f>
        <v/>
      </c>
      <c r="AZ16" s="152" t="str">
        <f aca="false">IF(AND($C16="Goal",AZ$7&gt;=$F16,AZ$7&lt;=$F16+$G16-1),2,IF(AND($C16="Milestone",AZ$7&gt;=$F16,AZ$7&lt;=$F16+$G16-1),1,""))</f>
        <v/>
      </c>
      <c r="BA16" s="152" t="str">
        <f aca="false">IF(AND($C16="Goal",BA$7&gt;=$F16,BA$7&lt;=$F16+$G16-1),2,IF(AND($C16="Milestone",BA$7&gt;=$F16,BA$7&lt;=$F16+$G16-1),1,""))</f>
        <v/>
      </c>
      <c r="BB16" s="152" t="str">
        <f aca="false">IF(AND($C16="Goal",BB$7&gt;=$F16,BB$7&lt;=$F16+$G16-1),2,IF(AND($C16="Milestone",BB$7&gt;=$F16,BB$7&lt;=$F16+$G16-1),1,""))</f>
        <v/>
      </c>
      <c r="BC16" s="152" t="str">
        <f aca="false">IF(AND($C16="Goal",BC$7&gt;=$F16,BC$7&lt;=$F16+$G16-1),2,IF(AND($C16="Milestone",BC$7&gt;=$F16,BC$7&lt;=$F16+$G16-1),1,""))</f>
        <v/>
      </c>
      <c r="BD16" s="152" t="str">
        <f aca="false">IF(AND($C16="Goal",BD$7&gt;=$F16,BD$7&lt;=$F16+$G16-1),2,IF(AND($C16="Milestone",BD$7&gt;=$F16,BD$7&lt;=$F16+$G16-1),1,""))</f>
        <v/>
      </c>
      <c r="BE16" s="152" t="str">
        <f aca="false">IF(AND($C16="Goal",BE$7&gt;=$F16,BE$7&lt;=$F16+$G16-1),2,IF(AND($C16="Milestone",BE$7&gt;=$F16,BE$7&lt;=$F16+$G16-1),1,""))</f>
        <v/>
      </c>
      <c r="BF16" s="152" t="str">
        <f aca="false">IF(AND($C16="Goal",BF$7&gt;=$F16,BF$7&lt;=$F16+$G16-1),2,IF(AND($C16="Milestone",BF$7&gt;=$F16,BF$7&lt;=$F16+$G16-1),1,""))</f>
        <v/>
      </c>
      <c r="BG16" s="152" t="str">
        <f aca="false">IF(AND($C16="Goal",BG$7&gt;=$F16,BG$7&lt;=$F16+$G16-1),2,IF(AND($C16="Milestone",BG$7&gt;=$F16,BG$7&lt;=$F16+$G16-1),1,""))</f>
        <v/>
      </c>
      <c r="BH16" s="152" t="str">
        <f aca="false">IF(AND($C16="Goal",BH$7&gt;=$F16,BH$7&lt;=$F16+$G16-1),2,IF(AND($C16="Milestone",BH$7&gt;=$F16,BH$7&lt;=$F16+$G16-1),1,""))</f>
        <v/>
      </c>
      <c r="BI16" s="152" t="str">
        <f aca="false">IF(AND($C16="Goal",BI$7&gt;=$F16,BI$7&lt;=$F16+$G16-1),2,IF(AND($C16="Milestone",BI$7&gt;=$F16,BI$7&lt;=$F16+$G16-1),1,""))</f>
        <v/>
      </c>
      <c r="BJ16" s="152" t="str">
        <f aca="false">IF(AND($C16="Goal",BJ$7&gt;=$F16,BJ$7&lt;=$F16+$G16-1),2,IF(AND($C16="Milestone",BJ$7&gt;=$F16,BJ$7&lt;=$F16+$G16-1),1,""))</f>
        <v/>
      </c>
      <c r="BK16" s="152" t="str">
        <f aca="false">IF(AND($C16="Goal",BK$7&gt;=$F16,BK$7&lt;=$F16+$G16-1),2,IF(AND($C16="Milestone",BK$7&gt;=$F16,BK$7&lt;=$F16+$G16-1),1,""))</f>
        <v/>
      </c>
      <c r="BL16" s="152" t="str">
        <f aca="false">IF(AND($C16="Goal",BL$7&gt;=$F16,BL$7&lt;=$F16+$G16-1),2,IF(AND($C16="Milestone",BL$7&gt;=$F16,BL$7&lt;=$F16+$G16-1),1,""))</f>
        <v/>
      </c>
      <c r="BM16" s="114"/>
    </row>
    <row r="17" s="25" customFormat="true" ht="39.75" hidden="false" customHeight="true" outlineLevel="0" collapsed="false">
      <c r="A17" s="15"/>
      <c r="B17" s="145" t="s">
        <v>89</v>
      </c>
      <c r="C17" s="146"/>
      <c r="D17" s="146"/>
      <c r="E17" s="147"/>
      <c r="F17" s="148"/>
      <c r="G17" s="149"/>
      <c r="H17" s="150"/>
      <c r="I17" s="151" t="str">
        <f aca="false">IF(AND($C17="Goal",I$7&gt;=$F17,I$7&lt;=$F17+$G17-1),2,IF(AND($C17="Milestone",I$7&gt;=$F17,I$7&lt;=$F17+$G17-1),1,""))</f>
        <v/>
      </c>
      <c r="J17" s="152" t="str">
        <f aca="false">IF(AND($C17="Goal",J$7&gt;=$F17,J$7&lt;=$F17+$G17-1),2,IF(AND($C17="Milestone",J$7&gt;=$F17,J$7&lt;=$F17+$G17-1),1,""))</f>
        <v/>
      </c>
      <c r="K17" s="152" t="str">
        <f aca="false">IF(AND($C17="Goal",K$7&gt;=$F17,K$7&lt;=$F17+$G17-1),2,IF(AND($C17="Milestone",K$7&gt;=$F17,K$7&lt;=$F17+$G17-1),1,""))</f>
        <v/>
      </c>
      <c r="L17" s="152" t="str">
        <f aca="false">IF(AND($C17="Goal",L$7&gt;=$F17,L$7&lt;=$F17+$G17-1),2,IF(AND($C17="Milestone",L$7&gt;=$F17,L$7&lt;=$F17+$G17-1),1,""))</f>
        <v/>
      </c>
      <c r="M17" s="152" t="str">
        <f aca="false">IF(AND($C17="Goal",M$7&gt;=$F17,M$7&lt;=$F17+$G17-1),2,IF(AND($C17="Milestone",M$7&gt;=$F17,M$7&lt;=$F17+$G17-1),1,""))</f>
        <v/>
      </c>
      <c r="N17" s="152" t="str">
        <f aca="false">IF(AND($C17="Goal",N$7&gt;=$F17,N$7&lt;=$F17+$G17-1),2,IF(AND($C17="Milestone",N$7&gt;=$F17,N$7&lt;=$F17+$G17-1),1,""))</f>
        <v/>
      </c>
      <c r="O17" s="152" t="str">
        <f aca="false">IF(AND($C17="Goal",O$7&gt;=$F17,O$7&lt;=$F17+$G17-1),2,IF(AND($C17="Milestone",O$7&gt;=$F17,O$7&lt;=$F17+$G17-1),1,""))</f>
        <v/>
      </c>
      <c r="P17" s="152" t="str">
        <f aca="false">IF(AND($C17="Goal",P$7&gt;=$F17,P$7&lt;=$F17+$G17-1),2,IF(AND($C17="Milestone",P$7&gt;=$F17,P$7&lt;=$F17+$G17-1),1,""))</f>
        <v/>
      </c>
      <c r="Q17" s="152" t="str">
        <f aca="false">IF(AND($C17="Goal",Q$7&gt;=$F17,Q$7&lt;=$F17+$G17-1),2,IF(AND($C17="Milestone",Q$7&gt;=$F17,Q$7&lt;=$F17+$G17-1),1,""))</f>
        <v/>
      </c>
      <c r="R17" s="152" t="str">
        <f aca="false">IF(AND($C17="Goal",R$7&gt;=$F17,R$7&lt;=$F17+$G17-1),2,IF(AND($C17="Milestone",R$7&gt;=$F17,R$7&lt;=$F17+$G17-1),1,""))</f>
        <v/>
      </c>
      <c r="S17" s="152" t="str">
        <f aca="false">IF(AND($C17="Goal",S$7&gt;=$F17,S$7&lt;=$F17+$G17-1),2,IF(AND($C17="Milestone",S$7&gt;=$F17,S$7&lt;=$F17+$G17-1),1,""))</f>
        <v/>
      </c>
      <c r="T17" s="152" t="str">
        <f aca="false">IF(AND($C17="Goal",T$7&gt;=$F17,T$7&lt;=$F17+$G17-1),2,IF(AND($C17="Milestone",T$7&gt;=$F17,T$7&lt;=$F17+$G17-1),1,""))</f>
        <v/>
      </c>
      <c r="U17" s="152" t="str">
        <f aca="false">IF(AND($C17="Goal",U$7&gt;=$F17,U$7&lt;=$F17+$G17-1),2,IF(AND($C17="Milestone",U$7&gt;=$F17,U$7&lt;=$F17+$G17-1),1,""))</f>
        <v/>
      </c>
      <c r="V17" s="152" t="str">
        <f aca="false">IF(AND($C17="Goal",V$7&gt;=$F17,V$7&lt;=$F17+$G17-1),2,IF(AND($C17="Milestone",V$7&gt;=$F17,V$7&lt;=$F17+$G17-1),1,""))</f>
        <v/>
      </c>
      <c r="W17" s="152" t="str">
        <f aca="false">IF(AND($C17="Goal",W$7&gt;=$F17,W$7&lt;=$F17+$G17-1),2,IF(AND($C17="Milestone",W$7&gt;=$F17,W$7&lt;=$F17+$G17-1),1,""))</f>
        <v/>
      </c>
      <c r="X17" s="152" t="str">
        <f aca="false">IF(AND($C17="Goal",X$7&gt;=$F17,X$7&lt;=$F17+$G17-1),2,IF(AND($C17="Milestone",X$7&gt;=$F17,X$7&lt;=$F17+$G17-1),1,""))</f>
        <v/>
      </c>
      <c r="Y17" s="152" t="str">
        <f aca="false">IF(AND($C17="Goal",Y$7&gt;=$F17,Y$7&lt;=$F17+$G17-1),2,IF(AND($C17="Milestone",Y$7&gt;=$F17,Y$7&lt;=$F17+$G17-1),1,""))</f>
        <v/>
      </c>
      <c r="Z17" s="152" t="str">
        <f aca="false">IF(AND($C17="Goal",Z$7&gt;=$F17,Z$7&lt;=$F17+$G17-1),2,IF(AND($C17="Milestone",Z$7&gt;=$F17,Z$7&lt;=$F17+$G17-1),1,""))</f>
        <v/>
      </c>
      <c r="AA17" s="152" t="str">
        <f aca="false">IF(AND($C17="Goal",AA$7&gt;=$F17,AA$7&lt;=$F17+$G17-1),2,IF(AND($C17="Milestone",AA$7&gt;=$F17,AA$7&lt;=$F17+$G17-1),1,""))</f>
        <v/>
      </c>
      <c r="AB17" s="152" t="str">
        <f aca="false">IF(AND($C17="Goal",AB$7&gt;=$F17,AB$7&lt;=$F17+$G17-1),2,IF(AND($C17="Milestone",AB$7&gt;=$F17,AB$7&lt;=$F17+$G17-1),1,""))</f>
        <v/>
      </c>
      <c r="AC17" s="152" t="str">
        <f aca="false">IF(AND($C17="Goal",AC$7&gt;=$F17,AC$7&lt;=$F17+$G17-1),2,IF(AND($C17="Milestone",AC$7&gt;=$F17,AC$7&lt;=$F17+$G17-1),1,""))</f>
        <v/>
      </c>
      <c r="AD17" s="152" t="str">
        <f aca="false">IF(AND($C17="Goal",AD$7&gt;=$F17,AD$7&lt;=$F17+$G17-1),2,IF(AND($C17="Milestone",AD$7&gt;=$F17,AD$7&lt;=$F17+$G17-1),1,""))</f>
        <v/>
      </c>
      <c r="AE17" s="152" t="str">
        <f aca="false">IF(AND($C17="Goal",AE$7&gt;=$F17,AE$7&lt;=$F17+$G17-1),2,IF(AND($C17="Milestone",AE$7&gt;=$F17,AE$7&lt;=$F17+$G17-1),1,""))</f>
        <v/>
      </c>
      <c r="AF17" s="152" t="str">
        <f aca="false">IF(AND($C17="Goal",AF$7&gt;=$F17,AF$7&lt;=$F17+$G17-1),2,IF(AND($C17="Milestone",AF$7&gt;=$F17,AF$7&lt;=$F17+$G17-1),1,""))</f>
        <v/>
      </c>
      <c r="AG17" s="152" t="str">
        <f aca="false">IF(AND($C17="Goal",AG$7&gt;=$F17,AG$7&lt;=$F17+$G17-1),2,IF(AND($C17="Milestone",AG$7&gt;=$F17,AG$7&lt;=$F17+$G17-1),1,""))</f>
        <v/>
      </c>
      <c r="AH17" s="152" t="str">
        <f aca="false">IF(AND($C17="Goal",AH$7&gt;=$F17,AH$7&lt;=$F17+$G17-1),2,IF(AND($C17="Milestone",AH$7&gt;=$F17,AH$7&lt;=$F17+$G17-1),1,""))</f>
        <v/>
      </c>
      <c r="AI17" s="152" t="str">
        <f aca="false">IF(AND($C17="Goal",AI$7&gt;=$F17,AI$7&lt;=$F17+$G17-1),2,IF(AND($C17="Milestone",AI$7&gt;=$F17,AI$7&lt;=$F17+$G17-1),1,""))</f>
        <v/>
      </c>
      <c r="AJ17" s="152" t="str">
        <f aca="false">IF(AND($C17="Goal",AJ$7&gt;=$F17,AJ$7&lt;=$F17+$G17-1),2,IF(AND($C17="Milestone",AJ$7&gt;=$F17,AJ$7&lt;=$F17+$G17-1),1,""))</f>
        <v/>
      </c>
      <c r="AK17" s="152" t="str">
        <f aca="false">IF(AND($C17="Goal",AK$7&gt;=$F17,AK$7&lt;=$F17+$G17-1),2,IF(AND($C17="Milestone",AK$7&gt;=$F17,AK$7&lt;=$F17+$G17-1),1,""))</f>
        <v/>
      </c>
      <c r="AL17" s="152" t="str">
        <f aca="false">IF(AND($C17="Goal",AL$7&gt;=$F17,AL$7&lt;=$F17+$G17-1),2,IF(AND($C17="Milestone",AL$7&gt;=$F17,AL$7&lt;=$F17+$G17-1),1,""))</f>
        <v/>
      </c>
      <c r="AM17" s="152" t="str">
        <f aca="false">IF(AND($C17="Goal",AM$7&gt;=$F17,AM$7&lt;=$F17+$G17-1),2,IF(AND($C17="Milestone",AM$7&gt;=$F17,AM$7&lt;=$F17+$G17-1),1,""))</f>
        <v/>
      </c>
      <c r="AN17" s="152" t="str">
        <f aca="false">IF(AND($C17="Goal",AN$7&gt;=$F17,AN$7&lt;=$F17+$G17-1),2,IF(AND($C17="Milestone",AN$7&gt;=$F17,AN$7&lt;=$F17+$G17-1),1,""))</f>
        <v/>
      </c>
      <c r="AO17" s="152" t="str">
        <f aca="false">IF(AND($C17="Goal",AO$7&gt;=$F17,AO$7&lt;=$F17+$G17-1),2,IF(AND($C17="Milestone",AO$7&gt;=$F17,AO$7&lt;=$F17+$G17-1),1,""))</f>
        <v/>
      </c>
      <c r="AP17" s="152" t="str">
        <f aca="false">IF(AND($C17="Goal",AP$7&gt;=$F17,AP$7&lt;=$F17+$G17-1),2,IF(AND($C17="Milestone",AP$7&gt;=$F17,AP$7&lt;=$F17+$G17-1),1,""))</f>
        <v/>
      </c>
      <c r="AQ17" s="152" t="str">
        <f aca="false">IF(AND($C17="Goal",AQ$7&gt;=$F17,AQ$7&lt;=$F17+$G17-1),2,IF(AND($C17="Milestone",AQ$7&gt;=$F17,AQ$7&lt;=$F17+$G17-1),1,""))</f>
        <v/>
      </c>
      <c r="AR17" s="152" t="str">
        <f aca="false">IF(AND($C17="Goal",AR$7&gt;=$F17,AR$7&lt;=$F17+$G17-1),2,IF(AND($C17="Milestone",AR$7&gt;=$F17,AR$7&lt;=$F17+$G17-1),1,""))</f>
        <v/>
      </c>
      <c r="AS17" s="152" t="str">
        <f aca="false">IF(AND($C17="Goal",AS$7&gt;=$F17,AS$7&lt;=$F17+$G17-1),2,IF(AND($C17="Milestone",AS$7&gt;=$F17,AS$7&lt;=$F17+$G17-1),1,""))</f>
        <v/>
      </c>
      <c r="AT17" s="152" t="str">
        <f aca="false">IF(AND($C17="Goal",AT$7&gt;=$F17,AT$7&lt;=$F17+$G17-1),2,IF(AND($C17="Milestone",AT$7&gt;=$F17,AT$7&lt;=$F17+$G17-1),1,""))</f>
        <v/>
      </c>
      <c r="AU17" s="152" t="str">
        <f aca="false">IF(AND($C17="Goal",AU$7&gt;=$F17,AU$7&lt;=$F17+$G17-1),2,IF(AND($C17="Milestone",AU$7&gt;=$F17,AU$7&lt;=$F17+$G17-1),1,""))</f>
        <v/>
      </c>
      <c r="AV17" s="152" t="str">
        <f aca="false">IF(AND($C17="Goal",AV$7&gt;=$F17,AV$7&lt;=$F17+$G17-1),2,IF(AND($C17="Milestone",AV$7&gt;=$F17,AV$7&lt;=$F17+$G17-1),1,""))</f>
        <v/>
      </c>
      <c r="AW17" s="152" t="str">
        <f aca="false">IF(AND($C17="Goal",AW$7&gt;=$F17,AW$7&lt;=$F17+$G17-1),2,IF(AND($C17="Milestone",AW$7&gt;=$F17,AW$7&lt;=$F17+$G17-1),1,""))</f>
        <v/>
      </c>
      <c r="AX17" s="152" t="str">
        <f aca="false">IF(AND($C17="Goal",AX$7&gt;=$F17,AX$7&lt;=$F17+$G17-1),2,IF(AND($C17="Milestone",AX$7&gt;=$F17,AX$7&lt;=$F17+$G17-1),1,""))</f>
        <v/>
      </c>
      <c r="AY17" s="152" t="str">
        <f aca="false">IF(AND($C17="Goal",AY$7&gt;=$F17,AY$7&lt;=$F17+$G17-1),2,IF(AND($C17="Milestone",AY$7&gt;=$F17,AY$7&lt;=$F17+$G17-1),1,""))</f>
        <v/>
      </c>
      <c r="AZ17" s="152" t="str">
        <f aca="false">IF(AND($C17="Goal",AZ$7&gt;=$F17,AZ$7&lt;=$F17+$G17-1),2,IF(AND($C17="Milestone",AZ$7&gt;=$F17,AZ$7&lt;=$F17+$G17-1),1,""))</f>
        <v/>
      </c>
      <c r="BA17" s="152" t="str">
        <f aca="false">IF(AND($C17="Goal",BA$7&gt;=$F17,BA$7&lt;=$F17+$G17-1),2,IF(AND($C17="Milestone",BA$7&gt;=$F17,BA$7&lt;=$F17+$G17-1),1,""))</f>
        <v/>
      </c>
      <c r="BB17" s="152" t="str">
        <f aca="false">IF(AND($C17="Goal",BB$7&gt;=$F17,BB$7&lt;=$F17+$G17-1),2,IF(AND($C17="Milestone",BB$7&gt;=$F17,BB$7&lt;=$F17+$G17-1),1,""))</f>
        <v/>
      </c>
      <c r="BC17" s="152" t="str">
        <f aca="false">IF(AND($C17="Goal",BC$7&gt;=$F17,BC$7&lt;=$F17+$G17-1),2,IF(AND($C17="Milestone",BC$7&gt;=$F17,BC$7&lt;=$F17+$G17-1),1,""))</f>
        <v/>
      </c>
      <c r="BD17" s="152" t="str">
        <f aca="false">IF(AND($C17="Goal",BD$7&gt;=$F17,BD$7&lt;=$F17+$G17-1),2,IF(AND($C17="Milestone",BD$7&gt;=$F17,BD$7&lt;=$F17+$G17-1),1,""))</f>
        <v/>
      </c>
      <c r="BE17" s="152" t="str">
        <f aca="false">IF(AND($C17="Goal",BE$7&gt;=$F17,BE$7&lt;=$F17+$G17-1),2,IF(AND($C17="Milestone",BE$7&gt;=$F17,BE$7&lt;=$F17+$G17-1),1,""))</f>
        <v/>
      </c>
      <c r="BF17" s="152" t="str">
        <f aca="false">IF(AND($C17="Goal",BF$7&gt;=$F17,BF$7&lt;=$F17+$G17-1),2,IF(AND($C17="Milestone",BF$7&gt;=$F17,BF$7&lt;=$F17+$G17-1),1,""))</f>
        <v/>
      </c>
      <c r="BG17" s="152" t="str">
        <f aca="false">IF(AND($C17="Goal",BG$7&gt;=$F17,BG$7&lt;=$F17+$G17-1),2,IF(AND($C17="Milestone",BG$7&gt;=$F17,BG$7&lt;=$F17+$G17-1),1,""))</f>
        <v/>
      </c>
      <c r="BH17" s="152" t="str">
        <f aca="false">IF(AND($C17="Goal",BH$7&gt;=$F17,BH$7&lt;=$F17+$G17-1),2,IF(AND($C17="Milestone",BH$7&gt;=$F17,BH$7&lt;=$F17+$G17-1),1,""))</f>
        <v/>
      </c>
      <c r="BI17" s="152" t="str">
        <f aca="false">IF(AND($C17="Goal",BI$7&gt;=$F17,BI$7&lt;=$F17+$G17-1),2,IF(AND($C17="Milestone",BI$7&gt;=$F17,BI$7&lt;=$F17+$G17-1),1,""))</f>
        <v/>
      </c>
      <c r="BJ17" s="152" t="str">
        <f aca="false">IF(AND($C17="Goal",BJ$7&gt;=$F17,BJ$7&lt;=$F17+$G17-1),2,IF(AND($C17="Milestone",BJ$7&gt;=$F17,BJ$7&lt;=$F17+$G17-1),1,""))</f>
        <v/>
      </c>
      <c r="BK17" s="152" t="str">
        <f aca="false">IF(AND($C17="Goal",BK$7&gt;=$F17,BK$7&lt;=$F17+$G17-1),2,IF(AND($C17="Milestone",BK$7&gt;=$F17,BK$7&lt;=$F17+$G17-1),1,""))</f>
        <v/>
      </c>
      <c r="BL17" s="152" t="str">
        <f aca="false">IF(AND($C17="Goal",BL$7&gt;=$F17,BL$7&lt;=$F17+$G17-1),2,IF(AND($C17="Milestone",BL$7&gt;=$F17,BL$7&lt;=$F17+$G17-1),1,""))</f>
        <v/>
      </c>
      <c r="BM17" s="114"/>
    </row>
    <row r="18" s="25" customFormat="true" ht="39.75" hidden="false" customHeight="true" outlineLevel="0" collapsed="false">
      <c r="A18" s="15"/>
      <c r="B18" s="153" t="s">
        <v>81</v>
      </c>
      <c r="C18" s="146" t="s">
        <v>35</v>
      </c>
      <c r="D18" s="146"/>
      <c r="E18" s="147" t="n">
        <v>0.6</v>
      </c>
      <c r="F18" s="148" t="n">
        <f aca="false">F12+6</f>
        <v>45971</v>
      </c>
      <c r="G18" s="149" t="n">
        <v>13</v>
      </c>
      <c r="H18" s="150"/>
      <c r="I18" s="151" t="str">
        <f aca="false">IF(AND($C18="Goal",I$7&gt;=$F18,I$7&lt;=$F18+$G18-1),2,IF(AND($C18="Milestone",I$7&gt;=$F18,I$7&lt;=$F18+$G18-1),1,""))</f>
        <v/>
      </c>
      <c r="J18" s="152" t="str">
        <f aca="false">IF(AND($C18="Goal",J$7&gt;=$F18,J$7&lt;=$F18+$G18-1),2,IF(AND($C18="Milestone",J$7&gt;=$F18,J$7&lt;=$F18+$G18-1),1,""))</f>
        <v/>
      </c>
      <c r="K18" s="152" t="str">
        <f aca="false">IF(AND($C18="Goal",K$7&gt;=$F18,K$7&lt;=$F18+$G18-1),2,IF(AND($C18="Milestone",K$7&gt;=$F18,K$7&lt;=$F18+$G18-1),1,""))</f>
        <v/>
      </c>
      <c r="L18" s="152" t="str">
        <f aca="false">IF(AND($C18="Goal",L$7&gt;=$F18,L$7&lt;=$F18+$G18-1),2,IF(AND($C18="Milestone",L$7&gt;=$F18,L$7&lt;=$F18+$G18-1),1,""))</f>
        <v/>
      </c>
      <c r="M18" s="152" t="str">
        <f aca="false">IF(AND($C18="Goal",M$7&gt;=$F18,M$7&lt;=$F18+$G18-1),2,IF(AND($C18="Milestone",M$7&gt;=$F18,M$7&lt;=$F18+$G18-1),1,""))</f>
        <v/>
      </c>
      <c r="N18" s="152" t="str">
        <f aca="false">IF(AND($C18="Goal",N$7&gt;=$F18,N$7&lt;=$F18+$G18-1),2,IF(AND($C18="Milestone",N$7&gt;=$F18,N$7&lt;=$F18+$G18-1),1,""))</f>
        <v/>
      </c>
      <c r="O18" s="152" t="str">
        <f aca="false">IF(AND($C18="Goal",O$7&gt;=$F18,O$7&lt;=$F18+$G18-1),2,IF(AND($C18="Milestone",O$7&gt;=$F18,O$7&lt;=$F18+$G18-1),1,""))</f>
        <v/>
      </c>
      <c r="P18" s="152" t="str">
        <f aca="false">IF(AND($C18="Goal",P$7&gt;=$F18,P$7&lt;=$F18+$G18-1),2,IF(AND($C18="Milestone",P$7&gt;=$F18,P$7&lt;=$F18+$G18-1),1,""))</f>
        <v/>
      </c>
      <c r="Q18" s="152" t="str">
        <f aca="false">IF(AND($C18="Goal",Q$7&gt;=$F18,Q$7&lt;=$F18+$G18-1),2,IF(AND($C18="Milestone",Q$7&gt;=$F18,Q$7&lt;=$F18+$G18-1),1,""))</f>
        <v/>
      </c>
      <c r="R18" s="152" t="str">
        <f aca="false">IF(AND($C18="Goal",R$7&gt;=$F18,R$7&lt;=$F18+$G18-1),2,IF(AND($C18="Milestone",R$7&gt;=$F18,R$7&lt;=$F18+$G18-1),1,""))</f>
        <v/>
      </c>
      <c r="S18" s="152" t="str">
        <f aca="false">IF(AND($C18="Goal",S$7&gt;=$F18,S$7&lt;=$F18+$G18-1),2,IF(AND($C18="Milestone",S$7&gt;=$F18,S$7&lt;=$F18+$G18-1),1,""))</f>
        <v/>
      </c>
      <c r="T18" s="152" t="str">
        <f aca="false">IF(AND($C18="Goal",T$7&gt;=$F18,T$7&lt;=$F18+$G18-1),2,IF(AND($C18="Milestone",T$7&gt;=$F18,T$7&lt;=$F18+$G18-1),1,""))</f>
        <v/>
      </c>
      <c r="U18" s="152" t="str">
        <f aca="false">IF(AND($C18="Goal",U$7&gt;=$F18,U$7&lt;=$F18+$G18-1),2,IF(AND($C18="Milestone",U$7&gt;=$F18,U$7&lt;=$F18+$G18-1),1,""))</f>
        <v/>
      </c>
      <c r="V18" s="152" t="str">
        <f aca="false">IF(AND($C18="Goal",V$7&gt;=$F18,V$7&lt;=$F18+$G18-1),2,IF(AND($C18="Milestone",V$7&gt;=$F18,V$7&lt;=$F18+$G18-1),1,""))</f>
        <v/>
      </c>
      <c r="W18" s="152" t="str">
        <f aca="false">IF(AND($C18="Goal",W$7&gt;=$F18,W$7&lt;=$F18+$G18-1),2,IF(AND($C18="Milestone",W$7&gt;=$F18,W$7&lt;=$F18+$G18-1),1,""))</f>
        <v/>
      </c>
      <c r="X18" s="152" t="str">
        <f aca="false">IF(AND($C18="Goal",X$7&gt;=$F18,X$7&lt;=$F18+$G18-1),2,IF(AND($C18="Milestone",X$7&gt;=$F18,X$7&lt;=$F18+$G18-1),1,""))</f>
        <v/>
      </c>
      <c r="Y18" s="152" t="str">
        <f aca="false">IF(AND($C18="Goal",Y$7&gt;=$F18,Y$7&lt;=$F18+$G18-1),2,IF(AND($C18="Milestone",Y$7&gt;=$F18,Y$7&lt;=$F18+$G18-1),1,""))</f>
        <v/>
      </c>
      <c r="Z18" s="152" t="str">
        <f aca="false">IF(AND($C18="Goal",Z$7&gt;=$F18,Z$7&lt;=$F18+$G18-1),2,IF(AND($C18="Milestone",Z$7&gt;=$F18,Z$7&lt;=$F18+$G18-1),1,""))</f>
        <v/>
      </c>
      <c r="AA18" s="152" t="str">
        <f aca="false">IF(AND($C18="Goal",AA$7&gt;=$F18,AA$7&lt;=$F18+$G18-1),2,IF(AND($C18="Milestone",AA$7&gt;=$F18,AA$7&lt;=$F18+$G18-1),1,""))</f>
        <v/>
      </c>
      <c r="AB18" s="152" t="str">
        <f aca="false">IF(AND($C18="Goal",AB$7&gt;=$F18,AB$7&lt;=$F18+$G18-1),2,IF(AND($C18="Milestone",AB$7&gt;=$F18,AB$7&lt;=$F18+$G18-1),1,""))</f>
        <v/>
      </c>
      <c r="AC18" s="152" t="str">
        <f aca="false">IF(AND($C18="Goal",AC$7&gt;=$F18,AC$7&lt;=$F18+$G18-1),2,IF(AND($C18="Milestone",AC$7&gt;=$F18,AC$7&lt;=$F18+$G18-1),1,""))</f>
        <v/>
      </c>
      <c r="AD18" s="152" t="str">
        <f aca="false">IF(AND($C18="Goal",AD$7&gt;=$F18,AD$7&lt;=$F18+$G18-1),2,IF(AND($C18="Milestone",AD$7&gt;=$F18,AD$7&lt;=$F18+$G18-1),1,""))</f>
        <v/>
      </c>
      <c r="AE18" s="152" t="str">
        <f aca="false">IF(AND($C18="Goal",AE$7&gt;=$F18,AE$7&lt;=$F18+$G18-1),2,IF(AND($C18="Milestone",AE$7&gt;=$F18,AE$7&lt;=$F18+$G18-1),1,""))</f>
        <v/>
      </c>
      <c r="AF18" s="152" t="str">
        <f aca="false">IF(AND($C18="Goal",AF$7&gt;=$F18,AF$7&lt;=$F18+$G18-1),2,IF(AND($C18="Milestone",AF$7&gt;=$F18,AF$7&lt;=$F18+$G18-1),1,""))</f>
        <v/>
      </c>
      <c r="AG18" s="152" t="str">
        <f aca="false">IF(AND($C18="Goal",AG$7&gt;=$F18,AG$7&lt;=$F18+$G18-1),2,IF(AND($C18="Milestone",AG$7&gt;=$F18,AG$7&lt;=$F18+$G18-1),1,""))</f>
        <v/>
      </c>
      <c r="AH18" s="152" t="str">
        <f aca="false">IF(AND($C18="Goal",AH$7&gt;=$F18,AH$7&lt;=$F18+$G18-1),2,IF(AND($C18="Milestone",AH$7&gt;=$F18,AH$7&lt;=$F18+$G18-1),1,""))</f>
        <v/>
      </c>
      <c r="AI18" s="152" t="str">
        <f aca="false">IF(AND($C18="Goal",AI$7&gt;=$F18,AI$7&lt;=$F18+$G18-1),2,IF(AND($C18="Milestone",AI$7&gt;=$F18,AI$7&lt;=$F18+$G18-1),1,""))</f>
        <v/>
      </c>
      <c r="AJ18" s="152" t="str">
        <f aca="false">IF(AND($C18="Goal",AJ$7&gt;=$F18,AJ$7&lt;=$F18+$G18-1),2,IF(AND($C18="Milestone",AJ$7&gt;=$F18,AJ$7&lt;=$F18+$G18-1),1,""))</f>
        <v/>
      </c>
      <c r="AK18" s="152" t="str">
        <f aca="false">IF(AND($C18="Goal",AK$7&gt;=$F18,AK$7&lt;=$F18+$G18-1),2,IF(AND($C18="Milestone",AK$7&gt;=$F18,AK$7&lt;=$F18+$G18-1),1,""))</f>
        <v/>
      </c>
      <c r="AL18" s="152" t="str">
        <f aca="false">IF(AND($C18="Goal",AL$7&gt;=$F18,AL$7&lt;=$F18+$G18-1),2,IF(AND($C18="Milestone",AL$7&gt;=$F18,AL$7&lt;=$F18+$G18-1),1,""))</f>
        <v/>
      </c>
      <c r="AM18" s="152" t="str">
        <f aca="false">IF(AND($C18="Goal",AM$7&gt;=$F18,AM$7&lt;=$F18+$G18-1),2,IF(AND($C18="Milestone",AM$7&gt;=$F18,AM$7&lt;=$F18+$G18-1),1,""))</f>
        <v/>
      </c>
      <c r="AN18" s="152" t="str">
        <f aca="false">IF(AND($C18="Goal",AN$7&gt;=$F18,AN$7&lt;=$F18+$G18-1),2,IF(AND($C18="Milestone",AN$7&gt;=$F18,AN$7&lt;=$F18+$G18-1),1,""))</f>
        <v/>
      </c>
      <c r="AO18" s="152" t="str">
        <f aca="false">IF(AND($C18="Goal",AO$7&gt;=$F18,AO$7&lt;=$F18+$G18-1),2,IF(AND($C18="Milestone",AO$7&gt;=$F18,AO$7&lt;=$F18+$G18-1),1,""))</f>
        <v/>
      </c>
      <c r="AP18" s="152" t="str">
        <f aca="false">IF(AND($C18="Goal",AP$7&gt;=$F18,AP$7&lt;=$F18+$G18-1),2,IF(AND($C18="Milestone",AP$7&gt;=$F18,AP$7&lt;=$F18+$G18-1),1,""))</f>
        <v/>
      </c>
      <c r="AQ18" s="152" t="str">
        <f aca="false">IF(AND($C18="Goal",AQ$7&gt;=$F18,AQ$7&lt;=$F18+$G18-1),2,IF(AND($C18="Milestone",AQ$7&gt;=$F18,AQ$7&lt;=$F18+$G18-1),1,""))</f>
        <v/>
      </c>
      <c r="AR18" s="152" t="str">
        <f aca="false">IF(AND($C18="Goal",AR$7&gt;=$F18,AR$7&lt;=$F18+$G18-1),2,IF(AND($C18="Milestone",AR$7&gt;=$F18,AR$7&lt;=$F18+$G18-1),1,""))</f>
        <v/>
      </c>
      <c r="AS18" s="152" t="str">
        <f aca="false">IF(AND($C18="Goal",AS$7&gt;=$F18,AS$7&lt;=$F18+$G18-1),2,IF(AND($C18="Milestone",AS$7&gt;=$F18,AS$7&lt;=$F18+$G18-1),1,""))</f>
        <v/>
      </c>
      <c r="AT18" s="152" t="str">
        <f aca="false">IF(AND($C18="Goal",AT$7&gt;=$F18,AT$7&lt;=$F18+$G18-1),2,IF(AND($C18="Milestone",AT$7&gt;=$F18,AT$7&lt;=$F18+$G18-1),1,""))</f>
        <v/>
      </c>
      <c r="AU18" s="152" t="str">
        <f aca="false">IF(AND($C18="Goal",AU$7&gt;=$F18,AU$7&lt;=$F18+$G18-1),2,IF(AND($C18="Milestone",AU$7&gt;=$F18,AU$7&lt;=$F18+$G18-1),1,""))</f>
        <v/>
      </c>
      <c r="AV18" s="152" t="str">
        <f aca="false">IF(AND($C18="Goal",AV$7&gt;=$F18,AV$7&lt;=$F18+$G18-1),2,IF(AND($C18="Milestone",AV$7&gt;=$F18,AV$7&lt;=$F18+$G18-1),1,""))</f>
        <v/>
      </c>
      <c r="AW18" s="152" t="str">
        <f aca="false">IF(AND($C18="Goal",AW$7&gt;=$F18,AW$7&lt;=$F18+$G18-1),2,IF(AND($C18="Milestone",AW$7&gt;=$F18,AW$7&lt;=$F18+$G18-1),1,""))</f>
        <v/>
      </c>
      <c r="AX18" s="152" t="str">
        <f aca="false">IF(AND($C18="Goal",AX$7&gt;=$F18,AX$7&lt;=$F18+$G18-1),2,IF(AND($C18="Milestone",AX$7&gt;=$F18,AX$7&lt;=$F18+$G18-1),1,""))</f>
        <v/>
      </c>
      <c r="AY18" s="152" t="str">
        <f aca="false">IF(AND($C18="Goal",AY$7&gt;=$F18,AY$7&lt;=$F18+$G18-1),2,IF(AND($C18="Milestone",AY$7&gt;=$F18,AY$7&lt;=$F18+$G18-1),1,""))</f>
        <v/>
      </c>
      <c r="AZ18" s="152" t="str">
        <f aca="false">IF(AND($C18="Goal",AZ$7&gt;=$F18,AZ$7&lt;=$F18+$G18-1),2,IF(AND($C18="Milestone",AZ$7&gt;=$F18,AZ$7&lt;=$F18+$G18-1),1,""))</f>
        <v/>
      </c>
      <c r="BA18" s="152" t="str">
        <f aca="false">IF(AND($C18="Goal",BA$7&gt;=$F18,BA$7&lt;=$F18+$G18-1),2,IF(AND($C18="Milestone",BA$7&gt;=$F18,BA$7&lt;=$F18+$G18-1),1,""))</f>
        <v/>
      </c>
      <c r="BB18" s="152" t="str">
        <f aca="false">IF(AND($C18="Goal",BB$7&gt;=$F18,BB$7&lt;=$F18+$G18-1),2,IF(AND($C18="Milestone",BB$7&gt;=$F18,BB$7&lt;=$F18+$G18-1),1,""))</f>
        <v/>
      </c>
      <c r="BC18" s="152" t="str">
        <f aca="false">IF(AND($C18="Goal",BC$7&gt;=$F18,BC$7&lt;=$F18+$G18-1),2,IF(AND($C18="Milestone",BC$7&gt;=$F18,BC$7&lt;=$F18+$G18-1),1,""))</f>
        <v/>
      </c>
      <c r="BD18" s="152" t="str">
        <f aca="false">IF(AND($C18="Goal",BD$7&gt;=$F18,BD$7&lt;=$F18+$G18-1),2,IF(AND($C18="Milestone",BD$7&gt;=$F18,BD$7&lt;=$F18+$G18-1),1,""))</f>
        <v/>
      </c>
      <c r="BE18" s="152" t="str">
        <f aca="false">IF(AND($C18="Goal",BE$7&gt;=$F18,BE$7&lt;=$F18+$G18-1),2,IF(AND($C18="Milestone",BE$7&gt;=$F18,BE$7&lt;=$F18+$G18-1),1,""))</f>
        <v/>
      </c>
      <c r="BF18" s="152" t="str">
        <f aca="false">IF(AND($C18="Goal",BF$7&gt;=$F18,BF$7&lt;=$F18+$G18-1),2,IF(AND($C18="Milestone",BF$7&gt;=$F18,BF$7&lt;=$F18+$G18-1),1,""))</f>
        <v/>
      </c>
      <c r="BG18" s="152" t="str">
        <f aca="false">IF(AND($C18="Goal",BG$7&gt;=$F18,BG$7&lt;=$F18+$G18-1),2,IF(AND($C18="Milestone",BG$7&gt;=$F18,BG$7&lt;=$F18+$G18-1),1,""))</f>
        <v/>
      </c>
      <c r="BH18" s="152" t="str">
        <f aca="false">IF(AND($C18="Goal",BH$7&gt;=$F18,BH$7&lt;=$F18+$G18-1),2,IF(AND($C18="Milestone",BH$7&gt;=$F18,BH$7&lt;=$F18+$G18-1),1,""))</f>
        <v/>
      </c>
      <c r="BI18" s="152" t="str">
        <f aca="false">IF(AND($C18="Goal",BI$7&gt;=$F18,BI$7&lt;=$F18+$G18-1),2,IF(AND($C18="Milestone",BI$7&gt;=$F18,BI$7&lt;=$F18+$G18-1),1,""))</f>
        <v/>
      </c>
      <c r="BJ18" s="152" t="str">
        <f aca="false">IF(AND($C18="Goal",BJ$7&gt;=$F18,BJ$7&lt;=$F18+$G18-1),2,IF(AND($C18="Milestone",BJ$7&gt;=$F18,BJ$7&lt;=$F18+$G18-1),1,""))</f>
        <v/>
      </c>
      <c r="BK18" s="152" t="str">
        <f aca="false">IF(AND($C18="Goal",BK$7&gt;=$F18,BK$7&lt;=$F18+$G18-1),2,IF(AND($C18="Milestone",BK$7&gt;=$F18,BK$7&lt;=$F18+$G18-1),1,""))</f>
        <v/>
      </c>
      <c r="BL18" s="152" t="str">
        <f aca="false">IF(AND($C18="Goal",BL$7&gt;=$F18,BL$7&lt;=$F18+$G18-1),2,IF(AND($C18="Milestone",BL$7&gt;=$F18,BL$7&lt;=$F18+$G18-1),1,""))</f>
        <v/>
      </c>
      <c r="BM18" s="114"/>
    </row>
    <row r="19" s="25" customFormat="true" ht="39.75" hidden="false" customHeight="true" outlineLevel="0" collapsed="false">
      <c r="A19" s="13"/>
      <c r="B19" s="153" t="s">
        <v>84</v>
      </c>
      <c r="C19" s="146" t="s">
        <v>90</v>
      </c>
      <c r="D19" s="146"/>
      <c r="E19" s="147" t="n">
        <v>0.5</v>
      </c>
      <c r="F19" s="148" t="n">
        <f aca="false">F18+2</f>
        <v>45973</v>
      </c>
      <c r="G19" s="149" t="n">
        <v>9</v>
      </c>
      <c r="H19" s="150"/>
      <c r="I19" s="151" t="str">
        <f aca="false">IF(AND($C19="Goal",I$7&gt;=$F19,I$7&lt;=$F19+$G19-1),2,IF(AND($C19="Milestone",I$7&gt;=$F19,I$7&lt;=$F19+$G19-1),1,""))</f>
        <v/>
      </c>
      <c r="J19" s="152" t="str">
        <f aca="false">IF(AND($C19="Goal",J$7&gt;=$F19,J$7&lt;=$F19+$G19-1),2,IF(AND($C19="Milestone",J$7&gt;=$F19,J$7&lt;=$F19+$G19-1),1,""))</f>
        <v/>
      </c>
      <c r="K19" s="152" t="str">
        <f aca="false">IF(AND($C19="Goal",K$7&gt;=$F19,K$7&lt;=$F19+$G19-1),2,IF(AND($C19="Milestone",K$7&gt;=$F19,K$7&lt;=$F19+$G19-1),1,""))</f>
        <v/>
      </c>
      <c r="L19" s="152" t="str">
        <f aca="false">IF(AND($C19="Goal",L$7&gt;=$F19,L$7&lt;=$F19+$G19-1),2,IF(AND($C19="Milestone",L$7&gt;=$F19,L$7&lt;=$F19+$G19-1),1,""))</f>
        <v/>
      </c>
      <c r="M19" s="152" t="str">
        <f aca="false">IF(AND($C19="Goal",M$7&gt;=$F19,M$7&lt;=$F19+$G19-1),2,IF(AND($C19="Milestone",M$7&gt;=$F19,M$7&lt;=$F19+$G19-1),1,""))</f>
        <v/>
      </c>
      <c r="N19" s="152" t="str">
        <f aca="false">IF(AND($C19="Goal",N$7&gt;=$F19,N$7&lt;=$F19+$G19-1),2,IF(AND($C19="Milestone",N$7&gt;=$F19,N$7&lt;=$F19+$G19-1),1,""))</f>
        <v/>
      </c>
      <c r="O19" s="152" t="str">
        <f aca="false">IF(AND($C19="Goal",O$7&gt;=$F19,O$7&lt;=$F19+$G19-1),2,IF(AND($C19="Milestone",O$7&gt;=$F19,O$7&lt;=$F19+$G19-1),1,""))</f>
        <v/>
      </c>
      <c r="P19" s="152" t="str">
        <f aca="false">IF(AND($C19="Goal",P$7&gt;=$F19,P$7&lt;=$F19+$G19-1),2,IF(AND($C19="Milestone",P$7&gt;=$F19,P$7&lt;=$F19+$G19-1),1,""))</f>
        <v/>
      </c>
      <c r="Q19" s="152" t="str">
        <f aca="false">IF(AND($C19="Goal",Q$7&gt;=$F19,Q$7&lt;=$F19+$G19-1),2,IF(AND($C19="Milestone",Q$7&gt;=$F19,Q$7&lt;=$F19+$G19-1),1,""))</f>
        <v/>
      </c>
      <c r="R19" s="152" t="str">
        <f aca="false">IF(AND($C19="Goal",R$7&gt;=$F19,R$7&lt;=$F19+$G19-1),2,IF(AND($C19="Milestone",R$7&gt;=$F19,R$7&lt;=$F19+$G19-1),1,""))</f>
        <v/>
      </c>
      <c r="S19" s="152" t="str">
        <f aca="false">IF(AND($C19="Goal",S$7&gt;=$F19,S$7&lt;=$F19+$G19-1),2,IF(AND($C19="Milestone",S$7&gt;=$F19,S$7&lt;=$F19+$G19-1),1,""))</f>
        <v/>
      </c>
      <c r="T19" s="152" t="str">
        <f aca="false">IF(AND($C19="Goal",T$7&gt;=$F19,T$7&lt;=$F19+$G19-1),2,IF(AND($C19="Milestone",T$7&gt;=$F19,T$7&lt;=$F19+$G19-1),1,""))</f>
        <v/>
      </c>
      <c r="U19" s="152" t="str">
        <f aca="false">IF(AND($C19="Goal",U$7&gt;=$F19,U$7&lt;=$F19+$G19-1),2,IF(AND($C19="Milestone",U$7&gt;=$F19,U$7&lt;=$F19+$G19-1),1,""))</f>
        <v/>
      </c>
      <c r="V19" s="152" t="str">
        <f aca="false">IF(AND($C19="Goal",V$7&gt;=$F19,V$7&lt;=$F19+$G19-1),2,IF(AND($C19="Milestone",V$7&gt;=$F19,V$7&lt;=$F19+$G19-1),1,""))</f>
        <v/>
      </c>
      <c r="W19" s="152" t="str">
        <f aca="false">IF(AND($C19="Goal",W$7&gt;=$F19,W$7&lt;=$F19+$G19-1),2,IF(AND($C19="Milestone",W$7&gt;=$F19,W$7&lt;=$F19+$G19-1),1,""))</f>
        <v/>
      </c>
      <c r="X19" s="152" t="str">
        <f aca="false">IF(AND($C19="Goal",X$7&gt;=$F19,X$7&lt;=$F19+$G19-1),2,IF(AND($C19="Milestone",X$7&gt;=$F19,X$7&lt;=$F19+$G19-1),1,""))</f>
        <v/>
      </c>
      <c r="Y19" s="152" t="str">
        <f aca="false">IF(AND($C19="Goal",Y$7&gt;=$F19,Y$7&lt;=$F19+$G19-1),2,IF(AND($C19="Milestone",Y$7&gt;=$F19,Y$7&lt;=$F19+$G19-1),1,""))</f>
        <v/>
      </c>
      <c r="Z19" s="152" t="str">
        <f aca="false">IF(AND($C19="Goal",Z$7&gt;=$F19,Z$7&lt;=$F19+$G19-1),2,IF(AND($C19="Milestone",Z$7&gt;=$F19,Z$7&lt;=$F19+$G19-1),1,""))</f>
        <v/>
      </c>
      <c r="AA19" s="152" t="str">
        <f aca="false">IF(AND($C19="Goal",AA$7&gt;=$F19,AA$7&lt;=$F19+$G19-1),2,IF(AND($C19="Milestone",AA$7&gt;=$F19,AA$7&lt;=$F19+$G19-1),1,""))</f>
        <v/>
      </c>
      <c r="AB19" s="152" t="str">
        <f aca="false">IF(AND($C19="Goal",AB$7&gt;=$F19,AB$7&lt;=$F19+$G19-1),2,IF(AND($C19="Milestone",AB$7&gt;=$F19,AB$7&lt;=$F19+$G19-1),1,""))</f>
        <v/>
      </c>
      <c r="AC19" s="152" t="str">
        <f aca="false">IF(AND($C19="Goal",AC$7&gt;=$F19,AC$7&lt;=$F19+$G19-1),2,IF(AND($C19="Milestone",AC$7&gt;=$F19,AC$7&lt;=$F19+$G19-1),1,""))</f>
        <v/>
      </c>
      <c r="AD19" s="152" t="str">
        <f aca="false">IF(AND($C19="Goal",AD$7&gt;=$F19,AD$7&lt;=$F19+$G19-1),2,IF(AND($C19="Milestone",AD$7&gt;=$F19,AD$7&lt;=$F19+$G19-1),1,""))</f>
        <v/>
      </c>
      <c r="AE19" s="152" t="str">
        <f aca="false">IF(AND($C19="Goal",AE$7&gt;=$F19,AE$7&lt;=$F19+$G19-1),2,IF(AND($C19="Milestone",AE$7&gt;=$F19,AE$7&lt;=$F19+$G19-1),1,""))</f>
        <v/>
      </c>
      <c r="AF19" s="152" t="str">
        <f aca="false">IF(AND($C19="Goal",AF$7&gt;=$F19,AF$7&lt;=$F19+$G19-1),2,IF(AND($C19="Milestone",AF$7&gt;=$F19,AF$7&lt;=$F19+$G19-1),1,""))</f>
        <v/>
      </c>
      <c r="AG19" s="152" t="str">
        <f aca="false">IF(AND($C19="Goal",AG$7&gt;=$F19,AG$7&lt;=$F19+$G19-1),2,IF(AND($C19="Milestone",AG$7&gt;=$F19,AG$7&lt;=$F19+$G19-1),1,""))</f>
        <v/>
      </c>
      <c r="AH19" s="152" t="str">
        <f aca="false">IF(AND($C19="Goal",AH$7&gt;=$F19,AH$7&lt;=$F19+$G19-1),2,IF(AND($C19="Milestone",AH$7&gt;=$F19,AH$7&lt;=$F19+$G19-1),1,""))</f>
        <v/>
      </c>
      <c r="AI19" s="152" t="str">
        <f aca="false">IF(AND($C19="Goal",AI$7&gt;=$F19,AI$7&lt;=$F19+$G19-1),2,IF(AND($C19="Milestone",AI$7&gt;=$F19,AI$7&lt;=$F19+$G19-1),1,""))</f>
        <v/>
      </c>
      <c r="AJ19" s="152" t="str">
        <f aca="false">IF(AND($C19="Goal",AJ$7&gt;=$F19,AJ$7&lt;=$F19+$G19-1),2,IF(AND($C19="Milestone",AJ$7&gt;=$F19,AJ$7&lt;=$F19+$G19-1),1,""))</f>
        <v/>
      </c>
      <c r="AK19" s="152" t="str">
        <f aca="false">IF(AND($C19="Goal",AK$7&gt;=$F19,AK$7&lt;=$F19+$G19-1),2,IF(AND($C19="Milestone",AK$7&gt;=$F19,AK$7&lt;=$F19+$G19-1),1,""))</f>
        <v/>
      </c>
      <c r="AL19" s="152" t="str">
        <f aca="false">IF(AND($C19="Goal",AL$7&gt;=$F19,AL$7&lt;=$F19+$G19-1),2,IF(AND($C19="Milestone",AL$7&gt;=$F19,AL$7&lt;=$F19+$G19-1),1,""))</f>
        <v/>
      </c>
      <c r="AM19" s="152" t="str">
        <f aca="false">IF(AND($C19="Goal",AM$7&gt;=$F19,AM$7&lt;=$F19+$G19-1),2,IF(AND($C19="Milestone",AM$7&gt;=$F19,AM$7&lt;=$F19+$G19-1),1,""))</f>
        <v/>
      </c>
      <c r="AN19" s="152" t="str">
        <f aca="false">IF(AND($C19="Goal",AN$7&gt;=$F19,AN$7&lt;=$F19+$G19-1),2,IF(AND($C19="Milestone",AN$7&gt;=$F19,AN$7&lt;=$F19+$G19-1),1,""))</f>
        <v/>
      </c>
      <c r="AO19" s="152" t="str">
        <f aca="false">IF(AND($C19="Goal",AO$7&gt;=$F19,AO$7&lt;=$F19+$G19-1),2,IF(AND($C19="Milestone",AO$7&gt;=$F19,AO$7&lt;=$F19+$G19-1),1,""))</f>
        <v/>
      </c>
      <c r="AP19" s="152" t="str">
        <f aca="false">IF(AND($C19="Goal",AP$7&gt;=$F19,AP$7&lt;=$F19+$G19-1),2,IF(AND($C19="Milestone",AP$7&gt;=$F19,AP$7&lt;=$F19+$G19-1),1,""))</f>
        <v/>
      </c>
      <c r="AQ19" s="152" t="str">
        <f aca="false">IF(AND($C19="Goal",AQ$7&gt;=$F19,AQ$7&lt;=$F19+$G19-1),2,IF(AND($C19="Milestone",AQ$7&gt;=$F19,AQ$7&lt;=$F19+$G19-1),1,""))</f>
        <v/>
      </c>
      <c r="AR19" s="152" t="str">
        <f aca="false">IF(AND($C19="Goal",AR$7&gt;=$F19,AR$7&lt;=$F19+$G19-1),2,IF(AND($C19="Milestone",AR$7&gt;=$F19,AR$7&lt;=$F19+$G19-1),1,""))</f>
        <v/>
      </c>
      <c r="AS19" s="152" t="str">
        <f aca="false">IF(AND($C19="Goal",AS$7&gt;=$F19,AS$7&lt;=$F19+$G19-1),2,IF(AND($C19="Milestone",AS$7&gt;=$F19,AS$7&lt;=$F19+$G19-1),1,""))</f>
        <v/>
      </c>
      <c r="AT19" s="152" t="str">
        <f aca="false">IF(AND($C19="Goal",AT$7&gt;=$F19,AT$7&lt;=$F19+$G19-1),2,IF(AND($C19="Milestone",AT$7&gt;=$F19,AT$7&lt;=$F19+$G19-1),1,""))</f>
        <v/>
      </c>
      <c r="AU19" s="152" t="str">
        <f aca="false">IF(AND($C19="Goal",AU$7&gt;=$F19,AU$7&lt;=$F19+$G19-1),2,IF(AND($C19="Milestone",AU$7&gt;=$F19,AU$7&lt;=$F19+$G19-1),1,""))</f>
        <v/>
      </c>
      <c r="AV19" s="152" t="str">
        <f aca="false">IF(AND($C19="Goal",AV$7&gt;=$F19,AV$7&lt;=$F19+$G19-1),2,IF(AND($C19="Milestone",AV$7&gt;=$F19,AV$7&lt;=$F19+$G19-1),1,""))</f>
        <v/>
      </c>
      <c r="AW19" s="152" t="str">
        <f aca="false">IF(AND($C19="Goal",AW$7&gt;=$F19,AW$7&lt;=$F19+$G19-1),2,IF(AND($C19="Milestone",AW$7&gt;=$F19,AW$7&lt;=$F19+$G19-1),1,""))</f>
        <v/>
      </c>
      <c r="AX19" s="152" t="str">
        <f aca="false">IF(AND($C19="Goal",AX$7&gt;=$F19,AX$7&lt;=$F19+$G19-1),2,IF(AND($C19="Milestone",AX$7&gt;=$F19,AX$7&lt;=$F19+$G19-1),1,""))</f>
        <v/>
      </c>
      <c r="AY19" s="152" t="str">
        <f aca="false">IF(AND($C19="Goal",AY$7&gt;=$F19,AY$7&lt;=$F19+$G19-1),2,IF(AND($C19="Milestone",AY$7&gt;=$F19,AY$7&lt;=$F19+$G19-1),1,""))</f>
        <v/>
      </c>
      <c r="AZ19" s="152" t="str">
        <f aca="false">IF(AND($C19="Goal",AZ$7&gt;=$F19,AZ$7&lt;=$F19+$G19-1),2,IF(AND($C19="Milestone",AZ$7&gt;=$F19,AZ$7&lt;=$F19+$G19-1),1,""))</f>
        <v/>
      </c>
      <c r="BA19" s="152" t="str">
        <f aca="false">IF(AND($C19="Goal",BA$7&gt;=$F19,BA$7&lt;=$F19+$G19-1),2,IF(AND($C19="Milestone",BA$7&gt;=$F19,BA$7&lt;=$F19+$G19-1),1,""))</f>
        <v/>
      </c>
      <c r="BB19" s="152" t="str">
        <f aca="false">IF(AND($C19="Goal",BB$7&gt;=$F19,BB$7&lt;=$F19+$G19-1),2,IF(AND($C19="Milestone",BB$7&gt;=$F19,BB$7&lt;=$F19+$G19-1),1,""))</f>
        <v/>
      </c>
      <c r="BC19" s="152" t="str">
        <f aca="false">IF(AND($C19="Goal",BC$7&gt;=$F19,BC$7&lt;=$F19+$G19-1),2,IF(AND($C19="Milestone",BC$7&gt;=$F19,BC$7&lt;=$F19+$G19-1),1,""))</f>
        <v/>
      </c>
      <c r="BD19" s="152" t="str">
        <f aca="false">IF(AND($C19="Goal",BD$7&gt;=$F19,BD$7&lt;=$F19+$G19-1),2,IF(AND($C19="Milestone",BD$7&gt;=$F19,BD$7&lt;=$F19+$G19-1),1,""))</f>
        <v/>
      </c>
      <c r="BE19" s="152" t="str">
        <f aca="false">IF(AND($C19="Goal",BE$7&gt;=$F19,BE$7&lt;=$F19+$G19-1),2,IF(AND($C19="Milestone",BE$7&gt;=$F19,BE$7&lt;=$F19+$G19-1),1,""))</f>
        <v/>
      </c>
      <c r="BF19" s="152" t="str">
        <f aca="false">IF(AND($C19="Goal",BF$7&gt;=$F19,BF$7&lt;=$F19+$G19-1),2,IF(AND($C19="Milestone",BF$7&gt;=$F19,BF$7&lt;=$F19+$G19-1),1,""))</f>
        <v/>
      </c>
      <c r="BG19" s="152" t="str">
        <f aca="false">IF(AND($C19="Goal",BG$7&gt;=$F19,BG$7&lt;=$F19+$G19-1),2,IF(AND($C19="Milestone",BG$7&gt;=$F19,BG$7&lt;=$F19+$G19-1),1,""))</f>
        <v/>
      </c>
      <c r="BH19" s="152" t="str">
        <f aca="false">IF(AND($C19="Goal",BH$7&gt;=$F19,BH$7&lt;=$F19+$G19-1),2,IF(AND($C19="Milestone",BH$7&gt;=$F19,BH$7&lt;=$F19+$G19-1),1,""))</f>
        <v/>
      </c>
      <c r="BI19" s="152" t="str">
        <f aca="false">IF(AND($C19="Goal",BI$7&gt;=$F19,BI$7&lt;=$F19+$G19-1),2,IF(AND($C19="Milestone",BI$7&gt;=$F19,BI$7&lt;=$F19+$G19-1),1,""))</f>
        <v/>
      </c>
      <c r="BJ19" s="152" t="str">
        <f aca="false">IF(AND($C19="Goal",BJ$7&gt;=$F19,BJ$7&lt;=$F19+$G19-1),2,IF(AND($C19="Milestone",BJ$7&gt;=$F19,BJ$7&lt;=$F19+$G19-1),1,""))</f>
        <v/>
      </c>
      <c r="BK19" s="152" t="str">
        <f aca="false">IF(AND($C19="Goal",BK$7&gt;=$F19,BK$7&lt;=$F19+$G19-1),2,IF(AND($C19="Milestone",BK$7&gt;=$F19,BK$7&lt;=$F19+$G19-1),1,""))</f>
        <v/>
      </c>
      <c r="BL19" s="152" t="str">
        <f aca="false">IF(AND($C19="Goal",BL$7&gt;=$F19,BL$7&lt;=$F19+$G19-1),2,IF(AND($C19="Milestone",BL$7&gt;=$F19,BL$7&lt;=$F19+$G19-1),1,""))</f>
        <v/>
      </c>
      <c r="BM19" s="114"/>
    </row>
    <row r="20" s="25" customFormat="true" ht="39.75" hidden="false" customHeight="true" outlineLevel="0" collapsed="false">
      <c r="A20" s="13"/>
      <c r="B20" s="153" t="s">
        <v>86</v>
      </c>
      <c r="C20" s="146" t="s">
        <v>23</v>
      </c>
      <c r="D20" s="146"/>
      <c r="E20" s="147" t="n">
        <v>0.33</v>
      </c>
      <c r="F20" s="148" t="n">
        <f aca="false">F19+5</f>
        <v>45978</v>
      </c>
      <c r="G20" s="149" t="n">
        <v>11</v>
      </c>
      <c r="H20" s="150"/>
      <c r="I20" s="151" t="str">
        <f aca="false">IF(AND($C20="Goal",I$7&gt;=$F20,I$7&lt;=$F20+$G20-1),2,IF(AND($C20="Milestone",I$7&gt;=$F20,I$7&lt;=$F20+$G20-1),1,""))</f>
        <v/>
      </c>
      <c r="J20" s="152" t="str">
        <f aca="false">IF(AND($C20="Goal",J$7&gt;=$F20,J$7&lt;=$F20+$G20-1),2,IF(AND($C20="Milestone",J$7&gt;=$F20,J$7&lt;=$F20+$G20-1),1,""))</f>
        <v/>
      </c>
      <c r="K20" s="152" t="str">
        <f aca="false">IF(AND($C20="Goal",K$7&gt;=$F20,K$7&lt;=$F20+$G20-1),2,IF(AND($C20="Milestone",K$7&gt;=$F20,K$7&lt;=$F20+$G20-1),1,""))</f>
        <v/>
      </c>
      <c r="L20" s="152" t="str">
        <f aca="false">IF(AND($C20="Goal",L$7&gt;=$F20,L$7&lt;=$F20+$G20-1),2,IF(AND($C20="Milestone",L$7&gt;=$F20,L$7&lt;=$F20+$G20-1),1,""))</f>
        <v/>
      </c>
      <c r="M20" s="152" t="str">
        <f aca="false">IF(AND($C20="Goal",M$7&gt;=$F20,M$7&lt;=$F20+$G20-1),2,IF(AND($C20="Milestone",M$7&gt;=$F20,M$7&lt;=$F20+$G20-1),1,""))</f>
        <v/>
      </c>
      <c r="N20" s="152" t="str">
        <f aca="false">IF(AND($C20="Goal",N$7&gt;=$F20,N$7&lt;=$F20+$G20-1),2,IF(AND($C20="Milestone",N$7&gt;=$F20,N$7&lt;=$F20+$G20-1),1,""))</f>
        <v/>
      </c>
      <c r="O20" s="152" t="str">
        <f aca="false">IF(AND($C20="Goal",O$7&gt;=$F20,O$7&lt;=$F20+$G20-1),2,IF(AND($C20="Milestone",O$7&gt;=$F20,O$7&lt;=$F20+$G20-1),1,""))</f>
        <v/>
      </c>
      <c r="P20" s="152" t="str">
        <f aca="false">IF(AND($C20="Goal",P$7&gt;=$F20,P$7&lt;=$F20+$G20-1),2,IF(AND($C20="Milestone",P$7&gt;=$F20,P$7&lt;=$F20+$G20-1),1,""))</f>
        <v/>
      </c>
      <c r="Q20" s="152" t="str">
        <f aca="false">IF(AND($C20="Goal",Q$7&gt;=$F20,Q$7&lt;=$F20+$G20-1),2,IF(AND($C20="Milestone",Q$7&gt;=$F20,Q$7&lt;=$F20+$G20-1),1,""))</f>
        <v/>
      </c>
      <c r="R20" s="152" t="str">
        <f aca="false">IF(AND($C20="Goal",R$7&gt;=$F20,R$7&lt;=$F20+$G20-1),2,IF(AND($C20="Milestone",R$7&gt;=$F20,R$7&lt;=$F20+$G20-1),1,""))</f>
        <v/>
      </c>
      <c r="S20" s="152" t="str">
        <f aca="false">IF(AND($C20="Goal",S$7&gt;=$F20,S$7&lt;=$F20+$G20-1),2,IF(AND($C20="Milestone",S$7&gt;=$F20,S$7&lt;=$F20+$G20-1),1,""))</f>
        <v/>
      </c>
      <c r="T20" s="152" t="str">
        <f aca="false">IF(AND($C20="Goal",T$7&gt;=$F20,T$7&lt;=$F20+$G20-1),2,IF(AND($C20="Milestone",T$7&gt;=$F20,T$7&lt;=$F20+$G20-1),1,""))</f>
        <v/>
      </c>
      <c r="U20" s="152" t="str">
        <f aca="false">IF(AND($C20="Goal",U$7&gt;=$F20,U$7&lt;=$F20+$G20-1),2,IF(AND($C20="Milestone",U$7&gt;=$F20,U$7&lt;=$F20+$G20-1),1,""))</f>
        <v/>
      </c>
      <c r="V20" s="152" t="str">
        <f aca="false">IF(AND($C20="Goal",V$7&gt;=$F20,V$7&lt;=$F20+$G20-1),2,IF(AND($C20="Milestone",V$7&gt;=$F20,V$7&lt;=$F20+$G20-1),1,""))</f>
        <v/>
      </c>
      <c r="W20" s="152" t="str">
        <f aca="false">IF(AND($C20="Goal",W$7&gt;=$F20,W$7&lt;=$F20+$G20-1),2,IF(AND($C20="Milestone",W$7&gt;=$F20,W$7&lt;=$F20+$G20-1),1,""))</f>
        <v/>
      </c>
      <c r="X20" s="152" t="str">
        <f aca="false">IF(AND($C20="Goal",X$7&gt;=$F20,X$7&lt;=$F20+$G20-1),2,IF(AND($C20="Milestone",X$7&gt;=$F20,X$7&lt;=$F20+$G20-1),1,""))</f>
        <v/>
      </c>
      <c r="Y20" s="152" t="str">
        <f aca="false">IF(AND($C20="Goal",Y$7&gt;=$F20,Y$7&lt;=$F20+$G20-1),2,IF(AND($C20="Milestone",Y$7&gt;=$F20,Y$7&lt;=$F20+$G20-1),1,""))</f>
        <v/>
      </c>
      <c r="Z20" s="152" t="str">
        <f aca="false">IF(AND($C20="Goal",Z$7&gt;=$F20,Z$7&lt;=$F20+$G20-1),2,IF(AND($C20="Milestone",Z$7&gt;=$F20,Z$7&lt;=$F20+$G20-1),1,""))</f>
        <v/>
      </c>
      <c r="AA20" s="152" t="str">
        <f aca="false">IF(AND($C20="Goal",AA$7&gt;=$F20,AA$7&lt;=$F20+$G20-1),2,IF(AND($C20="Milestone",AA$7&gt;=$F20,AA$7&lt;=$F20+$G20-1),1,""))</f>
        <v/>
      </c>
      <c r="AB20" s="152" t="str">
        <f aca="false">IF(AND($C20="Goal",AB$7&gt;=$F20,AB$7&lt;=$F20+$G20-1),2,IF(AND($C20="Milestone",AB$7&gt;=$F20,AB$7&lt;=$F20+$G20-1),1,""))</f>
        <v/>
      </c>
      <c r="AC20" s="152" t="str">
        <f aca="false">IF(AND($C20="Goal",AC$7&gt;=$F20,AC$7&lt;=$F20+$G20-1),2,IF(AND($C20="Milestone",AC$7&gt;=$F20,AC$7&lt;=$F20+$G20-1),1,""))</f>
        <v/>
      </c>
      <c r="AD20" s="152" t="str">
        <f aca="false">IF(AND($C20="Goal",AD$7&gt;=$F20,AD$7&lt;=$F20+$G20-1),2,IF(AND($C20="Milestone",AD$7&gt;=$F20,AD$7&lt;=$F20+$G20-1),1,""))</f>
        <v/>
      </c>
      <c r="AE20" s="152" t="str">
        <f aca="false">IF(AND($C20="Goal",AE$7&gt;=$F20,AE$7&lt;=$F20+$G20-1),2,IF(AND($C20="Milestone",AE$7&gt;=$F20,AE$7&lt;=$F20+$G20-1),1,""))</f>
        <v/>
      </c>
      <c r="AF20" s="152" t="str">
        <f aca="false">IF(AND($C20="Goal",AF$7&gt;=$F20,AF$7&lt;=$F20+$G20-1),2,IF(AND($C20="Milestone",AF$7&gt;=$F20,AF$7&lt;=$F20+$G20-1),1,""))</f>
        <v/>
      </c>
      <c r="AG20" s="152" t="str">
        <f aca="false">IF(AND($C20="Goal",AG$7&gt;=$F20,AG$7&lt;=$F20+$G20-1),2,IF(AND($C20="Milestone",AG$7&gt;=$F20,AG$7&lt;=$F20+$G20-1),1,""))</f>
        <v/>
      </c>
      <c r="AH20" s="152" t="str">
        <f aca="false">IF(AND($C20="Goal",AH$7&gt;=$F20,AH$7&lt;=$F20+$G20-1),2,IF(AND($C20="Milestone",AH$7&gt;=$F20,AH$7&lt;=$F20+$G20-1),1,""))</f>
        <v/>
      </c>
      <c r="AI20" s="152" t="str">
        <f aca="false">IF(AND($C20="Goal",AI$7&gt;=$F20,AI$7&lt;=$F20+$G20-1),2,IF(AND($C20="Milestone",AI$7&gt;=$F20,AI$7&lt;=$F20+$G20-1),1,""))</f>
        <v/>
      </c>
      <c r="AJ20" s="152" t="str">
        <f aca="false">IF(AND($C20="Goal",AJ$7&gt;=$F20,AJ$7&lt;=$F20+$G20-1),2,IF(AND($C20="Milestone",AJ$7&gt;=$F20,AJ$7&lt;=$F20+$G20-1),1,""))</f>
        <v/>
      </c>
      <c r="AK20" s="152" t="str">
        <f aca="false">IF(AND($C20="Goal",AK$7&gt;=$F20,AK$7&lt;=$F20+$G20-1),2,IF(AND($C20="Milestone",AK$7&gt;=$F20,AK$7&lt;=$F20+$G20-1),1,""))</f>
        <v/>
      </c>
      <c r="AL20" s="152" t="str">
        <f aca="false">IF(AND($C20="Goal",AL$7&gt;=$F20,AL$7&lt;=$F20+$G20-1),2,IF(AND($C20="Milestone",AL$7&gt;=$F20,AL$7&lt;=$F20+$G20-1),1,""))</f>
        <v/>
      </c>
      <c r="AM20" s="152" t="str">
        <f aca="false">IF(AND($C20="Goal",AM$7&gt;=$F20,AM$7&lt;=$F20+$G20-1),2,IF(AND($C20="Milestone",AM$7&gt;=$F20,AM$7&lt;=$F20+$G20-1),1,""))</f>
        <v/>
      </c>
      <c r="AN20" s="152" t="str">
        <f aca="false">IF(AND($C20="Goal",AN$7&gt;=$F20,AN$7&lt;=$F20+$G20-1),2,IF(AND($C20="Milestone",AN$7&gt;=$F20,AN$7&lt;=$F20+$G20-1),1,""))</f>
        <v/>
      </c>
      <c r="AO20" s="152" t="str">
        <f aca="false">IF(AND($C20="Goal",AO$7&gt;=$F20,AO$7&lt;=$F20+$G20-1),2,IF(AND($C20="Milestone",AO$7&gt;=$F20,AO$7&lt;=$F20+$G20-1),1,""))</f>
        <v/>
      </c>
      <c r="AP20" s="152" t="str">
        <f aca="false">IF(AND($C20="Goal",AP$7&gt;=$F20,AP$7&lt;=$F20+$G20-1),2,IF(AND($C20="Milestone",AP$7&gt;=$F20,AP$7&lt;=$F20+$G20-1),1,""))</f>
        <v/>
      </c>
      <c r="AQ20" s="152" t="str">
        <f aca="false">IF(AND($C20="Goal",AQ$7&gt;=$F20,AQ$7&lt;=$F20+$G20-1),2,IF(AND($C20="Milestone",AQ$7&gt;=$F20,AQ$7&lt;=$F20+$G20-1),1,""))</f>
        <v/>
      </c>
      <c r="AR20" s="152" t="str">
        <f aca="false">IF(AND($C20="Goal",AR$7&gt;=$F20,AR$7&lt;=$F20+$G20-1),2,IF(AND($C20="Milestone",AR$7&gt;=$F20,AR$7&lt;=$F20+$G20-1),1,""))</f>
        <v/>
      </c>
      <c r="AS20" s="152" t="str">
        <f aca="false">IF(AND($C20="Goal",AS$7&gt;=$F20,AS$7&lt;=$F20+$G20-1),2,IF(AND($C20="Milestone",AS$7&gt;=$F20,AS$7&lt;=$F20+$G20-1),1,""))</f>
        <v/>
      </c>
      <c r="AT20" s="152" t="str">
        <f aca="false">IF(AND($C20="Goal",AT$7&gt;=$F20,AT$7&lt;=$F20+$G20-1),2,IF(AND($C20="Milestone",AT$7&gt;=$F20,AT$7&lt;=$F20+$G20-1),1,""))</f>
        <v/>
      </c>
      <c r="AU20" s="152" t="str">
        <f aca="false">IF(AND($C20="Goal",AU$7&gt;=$F20,AU$7&lt;=$F20+$G20-1),2,IF(AND($C20="Milestone",AU$7&gt;=$F20,AU$7&lt;=$F20+$G20-1),1,""))</f>
        <v/>
      </c>
      <c r="AV20" s="152" t="str">
        <f aca="false">IF(AND($C20="Goal",AV$7&gt;=$F20,AV$7&lt;=$F20+$G20-1),2,IF(AND($C20="Milestone",AV$7&gt;=$F20,AV$7&lt;=$F20+$G20-1),1,""))</f>
        <v/>
      </c>
      <c r="AW20" s="152" t="str">
        <f aca="false">IF(AND($C20="Goal",AW$7&gt;=$F20,AW$7&lt;=$F20+$G20-1),2,IF(AND($C20="Milestone",AW$7&gt;=$F20,AW$7&lt;=$F20+$G20-1),1,""))</f>
        <v/>
      </c>
      <c r="AX20" s="152" t="str">
        <f aca="false">IF(AND($C20="Goal",AX$7&gt;=$F20,AX$7&lt;=$F20+$G20-1),2,IF(AND($C20="Milestone",AX$7&gt;=$F20,AX$7&lt;=$F20+$G20-1),1,""))</f>
        <v/>
      </c>
      <c r="AY20" s="152" t="str">
        <f aca="false">IF(AND($C20="Goal",AY$7&gt;=$F20,AY$7&lt;=$F20+$G20-1),2,IF(AND($C20="Milestone",AY$7&gt;=$F20,AY$7&lt;=$F20+$G20-1),1,""))</f>
        <v/>
      </c>
      <c r="AZ20" s="152" t="str">
        <f aca="false">IF(AND($C20="Goal",AZ$7&gt;=$F20,AZ$7&lt;=$F20+$G20-1),2,IF(AND($C20="Milestone",AZ$7&gt;=$F20,AZ$7&lt;=$F20+$G20-1),1,""))</f>
        <v/>
      </c>
      <c r="BA20" s="152" t="str">
        <f aca="false">IF(AND($C20="Goal",BA$7&gt;=$F20,BA$7&lt;=$F20+$G20-1),2,IF(AND($C20="Milestone",BA$7&gt;=$F20,BA$7&lt;=$F20+$G20-1),1,""))</f>
        <v/>
      </c>
      <c r="BB20" s="152" t="str">
        <f aca="false">IF(AND($C20="Goal",BB$7&gt;=$F20,BB$7&lt;=$F20+$G20-1),2,IF(AND($C20="Milestone",BB$7&gt;=$F20,BB$7&lt;=$F20+$G20-1),1,""))</f>
        <v/>
      </c>
      <c r="BC20" s="152" t="str">
        <f aca="false">IF(AND($C20="Goal",BC$7&gt;=$F20,BC$7&lt;=$F20+$G20-1),2,IF(AND($C20="Milestone",BC$7&gt;=$F20,BC$7&lt;=$F20+$G20-1),1,""))</f>
        <v/>
      </c>
      <c r="BD20" s="152" t="str">
        <f aca="false">IF(AND($C20="Goal",BD$7&gt;=$F20,BD$7&lt;=$F20+$G20-1),2,IF(AND($C20="Milestone",BD$7&gt;=$F20,BD$7&lt;=$F20+$G20-1),1,""))</f>
        <v/>
      </c>
      <c r="BE20" s="152" t="str">
        <f aca="false">IF(AND($C20="Goal",BE$7&gt;=$F20,BE$7&lt;=$F20+$G20-1),2,IF(AND($C20="Milestone",BE$7&gt;=$F20,BE$7&lt;=$F20+$G20-1),1,""))</f>
        <v/>
      </c>
      <c r="BF20" s="152" t="str">
        <f aca="false">IF(AND($C20="Goal",BF$7&gt;=$F20,BF$7&lt;=$F20+$G20-1),2,IF(AND($C20="Milestone",BF$7&gt;=$F20,BF$7&lt;=$F20+$G20-1),1,""))</f>
        <v/>
      </c>
      <c r="BG20" s="152" t="str">
        <f aca="false">IF(AND($C20="Goal",BG$7&gt;=$F20,BG$7&lt;=$F20+$G20-1),2,IF(AND($C20="Milestone",BG$7&gt;=$F20,BG$7&lt;=$F20+$G20-1),1,""))</f>
        <v/>
      </c>
      <c r="BH20" s="152" t="str">
        <f aca="false">IF(AND($C20="Goal",BH$7&gt;=$F20,BH$7&lt;=$F20+$G20-1),2,IF(AND($C20="Milestone",BH$7&gt;=$F20,BH$7&lt;=$F20+$G20-1),1,""))</f>
        <v/>
      </c>
      <c r="BI20" s="152" t="str">
        <f aca="false">IF(AND($C20="Goal",BI$7&gt;=$F20,BI$7&lt;=$F20+$G20-1),2,IF(AND($C20="Milestone",BI$7&gt;=$F20,BI$7&lt;=$F20+$G20-1),1,""))</f>
        <v/>
      </c>
      <c r="BJ20" s="152" t="str">
        <f aca="false">IF(AND($C20="Goal",BJ$7&gt;=$F20,BJ$7&lt;=$F20+$G20-1),2,IF(AND($C20="Milestone",BJ$7&gt;=$F20,BJ$7&lt;=$F20+$G20-1),1,""))</f>
        <v/>
      </c>
      <c r="BK20" s="152" t="str">
        <f aca="false">IF(AND($C20="Goal",BK$7&gt;=$F20,BK$7&lt;=$F20+$G20-1),2,IF(AND($C20="Milestone",BK$7&gt;=$F20,BK$7&lt;=$F20+$G20-1),1,""))</f>
        <v/>
      </c>
      <c r="BL20" s="152" t="str">
        <f aca="false">IF(AND($C20="Goal",BL$7&gt;=$F20,BL$7&lt;=$F20+$G20-1),2,IF(AND($C20="Milestone",BL$7&gt;=$F20,BL$7&lt;=$F20+$G20-1),1,""))</f>
        <v/>
      </c>
      <c r="BM20" s="114"/>
    </row>
    <row r="21" s="25" customFormat="true" ht="39.75" hidden="false" customHeight="true" outlineLevel="0" collapsed="false">
      <c r="A21" s="13"/>
      <c r="B21" s="153" t="s">
        <v>87</v>
      </c>
      <c r="C21" s="146" t="s">
        <v>85</v>
      </c>
      <c r="D21" s="146"/>
      <c r="E21" s="147"/>
      <c r="F21" s="148" t="n">
        <f aca="false">F20+2</f>
        <v>45980</v>
      </c>
      <c r="G21" s="149" t="n">
        <v>1</v>
      </c>
      <c r="H21" s="150"/>
      <c r="I21" s="151" t="str">
        <f aca="false">IF(AND($C21="Goal",I$7&gt;=$F21,I$7&lt;=$F21+$G21-1),2,IF(AND($C21="Milestone",I$7&gt;=$F21,I$7&lt;=$F21+$G21-1),1,""))</f>
        <v/>
      </c>
      <c r="J21" s="152" t="str">
        <f aca="false">IF(AND($C21="Goal",J$7&gt;=$F21,J$7&lt;=$F21+$G21-1),2,IF(AND($C21="Milestone",J$7&gt;=$F21,J$7&lt;=$F21+$G21-1),1,""))</f>
        <v/>
      </c>
      <c r="K21" s="152" t="str">
        <f aca="false">IF(AND($C21="Goal",K$7&gt;=$F21,K$7&lt;=$F21+$G21-1),2,IF(AND($C21="Milestone",K$7&gt;=$F21,K$7&lt;=$F21+$G21-1),1,""))</f>
        <v/>
      </c>
      <c r="L21" s="152" t="str">
        <f aca="false">IF(AND($C21="Goal",L$7&gt;=$F21,L$7&lt;=$F21+$G21-1),2,IF(AND($C21="Milestone",L$7&gt;=$F21,L$7&lt;=$F21+$G21-1),1,""))</f>
        <v/>
      </c>
      <c r="M21" s="152" t="str">
        <f aca="false">IF(AND($C21="Goal",M$7&gt;=$F21,M$7&lt;=$F21+$G21-1),2,IF(AND($C21="Milestone",M$7&gt;=$F21,M$7&lt;=$F21+$G21-1),1,""))</f>
        <v/>
      </c>
      <c r="N21" s="152" t="str">
        <f aca="false">IF(AND($C21="Goal",N$7&gt;=$F21,N$7&lt;=$F21+$G21-1),2,IF(AND($C21="Milestone",N$7&gt;=$F21,N$7&lt;=$F21+$G21-1),1,""))</f>
        <v/>
      </c>
      <c r="O21" s="152" t="str">
        <f aca="false">IF(AND($C21="Goal",O$7&gt;=$F21,O$7&lt;=$F21+$G21-1),2,IF(AND($C21="Milestone",O$7&gt;=$F21,O$7&lt;=$F21+$G21-1),1,""))</f>
        <v/>
      </c>
      <c r="P21" s="152" t="str">
        <f aca="false">IF(AND($C21="Goal",P$7&gt;=$F21,P$7&lt;=$F21+$G21-1),2,IF(AND($C21="Milestone",P$7&gt;=$F21,P$7&lt;=$F21+$G21-1),1,""))</f>
        <v/>
      </c>
      <c r="Q21" s="152" t="str">
        <f aca="false">IF(AND($C21="Goal",Q$7&gt;=$F21,Q$7&lt;=$F21+$G21-1),2,IF(AND($C21="Milestone",Q$7&gt;=$F21,Q$7&lt;=$F21+$G21-1),1,""))</f>
        <v/>
      </c>
      <c r="R21" s="152" t="str">
        <f aca="false">IF(AND($C21="Goal",R$7&gt;=$F21,R$7&lt;=$F21+$G21-1),2,IF(AND($C21="Milestone",R$7&gt;=$F21,R$7&lt;=$F21+$G21-1),1,""))</f>
        <v/>
      </c>
      <c r="S21" s="152" t="str">
        <f aca="false">IF(AND($C21="Goal",S$7&gt;=$F21,S$7&lt;=$F21+$G21-1),2,IF(AND($C21="Milestone",S$7&gt;=$F21,S$7&lt;=$F21+$G21-1),1,""))</f>
        <v/>
      </c>
      <c r="T21" s="152" t="str">
        <f aca="false">IF(AND($C21="Goal",T$7&gt;=$F21,T$7&lt;=$F21+$G21-1),2,IF(AND($C21="Milestone",T$7&gt;=$F21,T$7&lt;=$F21+$G21-1),1,""))</f>
        <v/>
      </c>
      <c r="U21" s="152" t="str">
        <f aca="false">IF(AND($C21="Goal",U$7&gt;=$F21,U$7&lt;=$F21+$G21-1),2,IF(AND($C21="Milestone",U$7&gt;=$F21,U$7&lt;=$F21+$G21-1),1,""))</f>
        <v/>
      </c>
      <c r="V21" s="152" t="str">
        <f aca="false">IF(AND($C21="Goal",V$7&gt;=$F21,V$7&lt;=$F21+$G21-1),2,IF(AND($C21="Milestone",V$7&gt;=$F21,V$7&lt;=$F21+$G21-1),1,""))</f>
        <v/>
      </c>
      <c r="W21" s="152" t="str">
        <f aca="false">IF(AND($C21="Goal",W$7&gt;=$F21,W$7&lt;=$F21+$G21-1),2,IF(AND($C21="Milestone",W$7&gt;=$F21,W$7&lt;=$F21+$G21-1),1,""))</f>
        <v/>
      </c>
      <c r="X21" s="152" t="n">
        <f aca="false">IF(AND($C21="Goal",X$7&gt;=$F21,X$7&lt;=$F21+$G21-1),2,IF(AND($C21="Milestone",X$7&gt;=$F21,X$7&lt;=$F21+$G21-1),1,""))</f>
        <v>1</v>
      </c>
      <c r="Y21" s="152" t="str">
        <f aca="false">IF(AND($C21="Goal",Y$7&gt;=$F21,Y$7&lt;=$F21+$G21-1),2,IF(AND($C21="Milestone",Y$7&gt;=$F21,Y$7&lt;=$F21+$G21-1),1,""))</f>
        <v/>
      </c>
      <c r="Z21" s="152" t="str">
        <f aca="false">IF(AND($C21="Goal",Z$7&gt;=$F21,Z$7&lt;=$F21+$G21-1),2,IF(AND($C21="Milestone",Z$7&gt;=$F21,Z$7&lt;=$F21+$G21-1),1,""))</f>
        <v/>
      </c>
      <c r="AA21" s="152" t="str">
        <f aca="false">IF(AND($C21="Goal",AA$7&gt;=$F21,AA$7&lt;=$F21+$G21-1),2,IF(AND($C21="Milestone",AA$7&gt;=$F21,AA$7&lt;=$F21+$G21-1),1,""))</f>
        <v/>
      </c>
      <c r="AB21" s="152" t="str">
        <f aca="false">IF(AND($C21="Goal",AB$7&gt;=$F21,AB$7&lt;=$F21+$G21-1),2,IF(AND($C21="Milestone",AB$7&gt;=$F21,AB$7&lt;=$F21+$G21-1),1,""))</f>
        <v/>
      </c>
      <c r="AC21" s="152" t="str">
        <f aca="false">IF(AND($C21="Goal",AC$7&gt;=$F21,AC$7&lt;=$F21+$G21-1),2,IF(AND($C21="Milestone",AC$7&gt;=$F21,AC$7&lt;=$F21+$G21-1),1,""))</f>
        <v/>
      </c>
      <c r="AD21" s="152" t="str">
        <f aca="false">IF(AND($C21="Goal",AD$7&gt;=$F21,AD$7&lt;=$F21+$G21-1),2,IF(AND($C21="Milestone",AD$7&gt;=$F21,AD$7&lt;=$F21+$G21-1),1,""))</f>
        <v/>
      </c>
      <c r="AE21" s="152" t="str">
        <f aca="false">IF(AND($C21="Goal",AE$7&gt;=$F21,AE$7&lt;=$F21+$G21-1),2,IF(AND($C21="Milestone",AE$7&gt;=$F21,AE$7&lt;=$F21+$G21-1),1,""))</f>
        <v/>
      </c>
      <c r="AF21" s="152" t="str">
        <f aca="false">IF(AND($C21="Goal",AF$7&gt;=$F21,AF$7&lt;=$F21+$G21-1),2,IF(AND($C21="Milestone",AF$7&gt;=$F21,AF$7&lt;=$F21+$G21-1),1,""))</f>
        <v/>
      </c>
      <c r="AG21" s="152" t="str">
        <f aca="false">IF(AND($C21="Goal",AG$7&gt;=$F21,AG$7&lt;=$F21+$G21-1),2,IF(AND($C21="Milestone",AG$7&gt;=$F21,AG$7&lt;=$F21+$G21-1),1,""))</f>
        <v/>
      </c>
      <c r="AH21" s="152" t="str">
        <f aca="false">IF(AND($C21="Goal",AH$7&gt;=$F21,AH$7&lt;=$F21+$G21-1),2,IF(AND($C21="Milestone",AH$7&gt;=$F21,AH$7&lt;=$F21+$G21-1),1,""))</f>
        <v/>
      </c>
      <c r="AI21" s="152" t="str">
        <f aca="false">IF(AND($C21="Goal",AI$7&gt;=$F21,AI$7&lt;=$F21+$G21-1),2,IF(AND($C21="Milestone",AI$7&gt;=$F21,AI$7&lt;=$F21+$G21-1),1,""))</f>
        <v/>
      </c>
      <c r="AJ21" s="152" t="str">
        <f aca="false">IF(AND($C21="Goal",AJ$7&gt;=$F21,AJ$7&lt;=$F21+$G21-1),2,IF(AND($C21="Milestone",AJ$7&gt;=$F21,AJ$7&lt;=$F21+$G21-1),1,""))</f>
        <v/>
      </c>
      <c r="AK21" s="152" t="str">
        <f aca="false">IF(AND($C21="Goal",AK$7&gt;=$F21,AK$7&lt;=$F21+$G21-1),2,IF(AND($C21="Milestone",AK$7&gt;=$F21,AK$7&lt;=$F21+$G21-1),1,""))</f>
        <v/>
      </c>
      <c r="AL21" s="152" t="str">
        <f aca="false">IF(AND($C21="Goal",AL$7&gt;=$F21,AL$7&lt;=$F21+$G21-1),2,IF(AND($C21="Milestone",AL$7&gt;=$F21,AL$7&lt;=$F21+$G21-1),1,""))</f>
        <v/>
      </c>
      <c r="AM21" s="152" t="str">
        <f aca="false">IF(AND($C21="Goal",AM$7&gt;=$F21,AM$7&lt;=$F21+$G21-1),2,IF(AND($C21="Milestone",AM$7&gt;=$F21,AM$7&lt;=$F21+$G21-1),1,""))</f>
        <v/>
      </c>
      <c r="AN21" s="152" t="str">
        <f aca="false">IF(AND($C21="Goal",AN$7&gt;=$F21,AN$7&lt;=$F21+$G21-1),2,IF(AND($C21="Milestone",AN$7&gt;=$F21,AN$7&lt;=$F21+$G21-1),1,""))</f>
        <v/>
      </c>
      <c r="AO21" s="152" t="str">
        <f aca="false">IF(AND($C21="Goal",AO$7&gt;=$F21,AO$7&lt;=$F21+$G21-1),2,IF(AND($C21="Milestone",AO$7&gt;=$F21,AO$7&lt;=$F21+$G21-1),1,""))</f>
        <v/>
      </c>
      <c r="AP21" s="152" t="str">
        <f aca="false">IF(AND($C21="Goal",AP$7&gt;=$F21,AP$7&lt;=$F21+$G21-1),2,IF(AND($C21="Milestone",AP$7&gt;=$F21,AP$7&lt;=$F21+$G21-1),1,""))</f>
        <v/>
      </c>
      <c r="AQ21" s="152" t="str">
        <f aca="false">IF(AND($C21="Goal",AQ$7&gt;=$F21,AQ$7&lt;=$F21+$G21-1),2,IF(AND($C21="Milestone",AQ$7&gt;=$F21,AQ$7&lt;=$F21+$G21-1),1,""))</f>
        <v/>
      </c>
      <c r="AR21" s="152" t="str">
        <f aca="false">IF(AND($C21="Goal",AR$7&gt;=$F21,AR$7&lt;=$F21+$G21-1),2,IF(AND($C21="Milestone",AR$7&gt;=$F21,AR$7&lt;=$F21+$G21-1),1,""))</f>
        <v/>
      </c>
      <c r="AS21" s="152" t="str">
        <f aca="false">IF(AND($C21="Goal",AS$7&gt;=$F21,AS$7&lt;=$F21+$G21-1),2,IF(AND($C21="Milestone",AS$7&gt;=$F21,AS$7&lt;=$F21+$G21-1),1,""))</f>
        <v/>
      </c>
      <c r="AT21" s="152" t="str">
        <f aca="false">IF(AND($C21="Goal",AT$7&gt;=$F21,AT$7&lt;=$F21+$G21-1),2,IF(AND($C21="Milestone",AT$7&gt;=$F21,AT$7&lt;=$F21+$G21-1),1,""))</f>
        <v/>
      </c>
      <c r="AU21" s="152" t="str">
        <f aca="false">IF(AND($C21="Goal",AU$7&gt;=$F21,AU$7&lt;=$F21+$G21-1),2,IF(AND($C21="Milestone",AU$7&gt;=$F21,AU$7&lt;=$F21+$G21-1),1,""))</f>
        <v/>
      </c>
      <c r="AV21" s="152" t="str">
        <f aca="false">IF(AND($C21="Goal",AV$7&gt;=$F21,AV$7&lt;=$F21+$G21-1),2,IF(AND($C21="Milestone",AV$7&gt;=$F21,AV$7&lt;=$F21+$G21-1),1,""))</f>
        <v/>
      </c>
      <c r="AW21" s="152" t="str">
        <f aca="false">IF(AND($C21="Goal",AW$7&gt;=$F21,AW$7&lt;=$F21+$G21-1),2,IF(AND($C21="Milestone",AW$7&gt;=$F21,AW$7&lt;=$F21+$G21-1),1,""))</f>
        <v/>
      </c>
      <c r="AX21" s="152" t="str">
        <f aca="false">IF(AND($C21="Goal",AX$7&gt;=$F21,AX$7&lt;=$F21+$G21-1),2,IF(AND($C21="Milestone",AX$7&gt;=$F21,AX$7&lt;=$F21+$G21-1),1,""))</f>
        <v/>
      </c>
      <c r="AY21" s="152" t="str">
        <f aca="false">IF(AND($C21="Goal",AY$7&gt;=$F21,AY$7&lt;=$F21+$G21-1),2,IF(AND($C21="Milestone",AY$7&gt;=$F21,AY$7&lt;=$F21+$G21-1),1,""))</f>
        <v/>
      </c>
      <c r="AZ21" s="152" t="str">
        <f aca="false">IF(AND($C21="Goal",AZ$7&gt;=$F21,AZ$7&lt;=$F21+$G21-1),2,IF(AND($C21="Milestone",AZ$7&gt;=$F21,AZ$7&lt;=$F21+$G21-1),1,""))</f>
        <v/>
      </c>
      <c r="BA21" s="152" t="str">
        <f aca="false">IF(AND($C21="Goal",BA$7&gt;=$F21,BA$7&lt;=$F21+$G21-1),2,IF(AND($C21="Milestone",BA$7&gt;=$F21,BA$7&lt;=$F21+$G21-1),1,""))</f>
        <v/>
      </c>
      <c r="BB21" s="152" t="str">
        <f aca="false">IF(AND($C21="Goal",BB$7&gt;=$F21,BB$7&lt;=$F21+$G21-1),2,IF(AND($C21="Milestone",BB$7&gt;=$F21,BB$7&lt;=$F21+$G21-1),1,""))</f>
        <v/>
      </c>
      <c r="BC21" s="152" t="str">
        <f aca="false">IF(AND($C21="Goal",BC$7&gt;=$F21,BC$7&lt;=$F21+$G21-1),2,IF(AND($C21="Milestone",BC$7&gt;=$F21,BC$7&lt;=$F21+$G21-1),1,""))</f>
        <v/>
      </c>
      <c r="BD21" s="152" t="str">
        <f aca="false">IF(AND($C21="Goal",BD$7&gt;=$F21,BD$7&lt;=$F21+$G21-1),2,IF(AND($C21="Milestone",BD$7&gt;=$F21,BD$7&lt;=$F21+$G21-1),1,""))</f>
        <v/>
      </c>
      <c r="BE21" s="152" t="str">
        <f aca="false">IF(AND($C21="Goal",BE$7&gt;=$F21,BE$7&lt;=$F21+$G21-1),2,IF(AND($C21="Milestone",BE$7&gt;=$F21,BE$7&lt;=$F21+$G21-1),1,""))</f>
        <v/>
      </c>
      <c r="BF21" s="152" t="str">
        <f aca="false">IF(AND($C21="Goal",BF$7&gt;=$F21,BF$7&lt;=$F21+$G21-1),2,IF(AND($C21="Milestone",BF$7&gt;=$F21,BF$7&lt;=$F21+$G21-1),1,""))</f>
        <v/>
      </c>
      <c r="BG21" s="152" t="str">
        <f aca="false">IF(AND($C21="Goal",BG$7&gt;=$F21,BG$7&lt;=$F21+$G21-1),2,IF(AND($C21="Milestone",BG$7&gt;=$F21,BG$7&lt;=$F21+$G21-1),1,""))</f>
        <v/>
      </c>
      <c r="BH21" s="152" t="str">
        <f aca="false">IF(AND($C21="Goal",BH$7&gt;=$F21,BH$7&lt;=$F21+$G21-1),2,IF(AND($C21="Milestone",BH$7&gt;=$F21,BH$7&lt;=$F21+$G21-1),1,""))</f>
        <v/>
      </c>
      <c r="BI21" s="152" t="str">
        <f aca="false">IF(AND($C21="Goal",BI$7&gt;=$F21,BI$7&lt;=$F21+$G21-1),2,IF(AND($C21="Milestone",BI$7&gt;=$F21,BI$7&lt;=$F21+$G21-1),1,""))</f>
        <v/>
      </c>
      <c r="BJ21" s="152" t="str">
        <f aca="false">IF(AND($C21="Goal",BJ$7&gt;=$F21,BJ$7&lt;=$F21+$G21-1),2,IF(AND($C21="Milestone",BJ$7&gt;=$F21,BJ$7&lt;=$F21+$G21-1),1,""))</f>
        <v/>
      </c>
      <c r="BK21" s="152" t="str">
        <f aca="false">IF(AND($C21="Goal",BK$7&gt;=$F21,BK$7&lt;=$F21+$G21-1),2,IF(AND($C21="Milestone",BK$7&gt;=$F21,BK$7&lt;=$F21+$G21-1),1,""))</f>
        <v/>
      </c>
      <c r="BL21" s="152" t="str">
        <f aca="false">IF(AND($C21="Goal",BL$7&gt;=$F21,BL$7&lt;=$F21+$G21-1),2,IF(AND($C21="Milestone",BL$7&gt;=$F21,BL$7&lt;=$F21+$G21-1),1,""))</f>
        <v/>
      </c>
      <c r="BM21" s="114"/>
    </row>
    <row r="22" s="25" customFormat="true" ht="39.75" hidden="false" customHeight="true" outlineLevel="0" collapsed="false">
      <c r="A22" s="13"/>
      <c r="B22" s="153" t="s">
        <v>88</v>
      </c>
      <c r="C22" s="146"/>
      <c r="D22" s="146"/>
      <c r="E22" s="147"/>
      <c r="F22" s="148" t="n">
        <f aca="false">F21+1</f>
        <v>45981</v>
      </c>
      <c r="G22" s="149" t="n">
        <v>24</v>
      </c>
      <c r="H22" s="150"/>
      <c r="I22" s="151" t="str">
        <f aca="false">IF(AND($C22="Goal",I$7&gt;=$F22,I$7&lt;=$F22+$G22-1),2,IF(AND($C22="Milestone",I$7&gt;=$F22,I$7&lt;=$F22+$G22-1),1,""))</f>
        <v/>
      </c>
      <c r="J22" s="152" t="str">
        <f aca="false">IF(AND($C22="Goal",J$7&gt;=$F22,J$7&lt;=$F22+$G22-1),2,IF(AND($C22="Milestone",J$7&gt;=$F22,J$7&lt;=$F22+$G22-1),1,""))</f>
        <v/>
      </c>
      <c r="K22" s="152" t="str">
        <f aca="false">IF(AND($C22="Goal",K$7&gt;=$F22,K$7&lt;=$F22+$G22-1),2,IF(AND($C22="Milestone",K$7&gt;=$F22,K$7&lt;=$F22+$G22-1),1,""))</f>
        <v/>
      </c>
      <c r="L22" s="152" t="str">
        <f aca="false">IF(AND($C22="Goal",L$7&gt;=$F22,L$7&lt;=$F22+$G22-1),2,IF(AND($C22="Milestone",L$7&gt;=$F22,L$7&lt;=$F22+$G22-1),1,""))</f>
        <v/>
      </c>
      <c r="M22" s="152" t="str">
        <f aca="false">IF(AND($C22="Goal",M$7&gt;=$F22,M$7&lt;=$F22+$G22-1),2,IF(AND($C22="Milestone",M$7&gt;=$F22,M$7&lt;=$F22+$G22-1),1,""))</f>
        <v/>
      </c>
      <c r="N22" s="152" t="str">
        <f aca="false">IF(AND($C22="Goal",N$7&gt;=$F22,N$7&lt;=$F22+$G22-1),2,IF(AND($C22="Milestone",N$7&gt;=$F22,N$7&lt;=$F22+$G22-1),1,""))</f>
        <v/>
      </c>
      <c r="O22" s="152" t="str">
        <f aca="false">IF(AND($C22="Goal",O$7&gt;=$F22,O$7&lt;=$F22+$G22-1),2,IF(AND($C22="Milestone",O$7&gt;=$F22,O$7&lt;=$F22+$G22-1),1,""))</f>
        <v/>
      </c>
      <c r="P22" s="152" t="str">
        <f aca="false">IF(AND($C22="Goal",P$7&gt;=$F22,P$7&lt;=$F22+$G22-1),2,IF(AND($C22="Milestone",P$7&gt;=$F22,P$7&lt;=$F22+$G22-1),1,""))</f>
        <v/>
      </c>
      <c r="Q22" s="152" t="str">
        <f aca="false">IF(AND($C22="Goal",Q$7&gt;=$F22,Q$7&lt;=$F22+$G22-1),2,IF(AND($C22="Milestone",Q$7&gt;=$F22,Q$7&lt;=$F22+$G22-1),1,""))</f>
        <v/>
      </c>
      <c r="R22" s="152" t="str">
        <f aca="false">IF(AND($C22="Goal",R$7&gt;=$F22,R$7&lt;=$F22+$G22-1),2,IF(AND($C22="Milestone",R$7&gt;=$F22,R$7&lt;=$F22+$G22-1),1,""))</f>
        <v/>
      </c>
      <c r="S22" s="152" t="str">
        <f aca="false">IF(AND($C22="Goal",S$7&gt;=$F22,S$7&lt;=$F22+$G22-1),2,IF(AND($C22="Milestone",S$7&gt;=$F22,S$7&lt;=$F22+$G22-1),1,""))</f>
        <v/>
      </c>
      <c r="T22" s="152" t="str">
        <f aca="false">IF(AND($C22="Goal",T$7&gt;=$F22,T$7&lt;=$F22+$G22-1),2,IF(AND($C22="Milestone",T$7&gt;=$F22,T$7&lt;=$F22+$G22-1),1,""))</f>
        <v/>
      </c>
      <c r="U22" s="152" t="str">
        <f aca="false">IF(AND($C22="Goal",U$7&gt;=$F22,U$7&lt;=$F22+$G22-1),2,IF(AND($C22="Milestone",U$7&gt;=$F22,U$7&lt;=$F22+$G22-1),1,""))</f>
        <v/>
      </c>
      <c r="V22" s="152" t="str">
        <f aca="false">IF(AND($C22="Goal",V$7&gt;=$F22,V$7&lt;=$F22+$G22-1),2,IF(AND($C22="Milestone",V$7&gt;=$F22,V$7&lt;=$F22+$G22-1),1,""))</f>
        <v/>
      </c>
      <c r="W22" s="152" t="str">
        <f aca="false">IF(AND($C22="Goal",W$7&gt;=$F22,W$7&lt;=$F22+$G22-1),2,IF(AND($C22="Milestone",W$7&gt;=$F22,W$7&lt;=$F22+$G22-1),1,""))</f>
        <v/>
      </c>
      <c r="X22" s="152" t="str">
        <f aca="false">IF(AND($C22="Goal",X$7&gt;=$F22,X$7&lt;=$F22+$G22-1),2,IF(AND($C22="Milestone",X$7&gt;=$F22,X$7&lt;=$F22+$G22-1),1,""))</f>
        <v/>
      </c>
      <c r="Y22" s="152" t="str">
        <f aca="false">IF(AND($C22="Goal",Y$7&gt;=$F22,Y$7&lt;=$F22+$G22-1),2,IF(AND($C22="Milestone",Y$7&gt;=$F22,Y$7&lt;=$F22+$G22-1),1,""))</f>
        <v/>
      </c>
      <c r="Z22" s="152" t="str">
        <f aca="false">IF(AND($C22="Goal",Z$7&gt;=$F22,Z$7&lt;=$F22+$G22-1),2,IF(AND($C22="Milestone",Z$7&gt;=$F22,Z$7&lt;=$F22+$G22-1),1,""))</f>
        <v/>
      </c>
      <c r="AA22" s="152" t="str">
        <f aca="false">IF(AND($C22="Goal",AA$7&gt;=$F22,AA$7&lt;=$F22+$G22-1),2,IF(AND($C22="Milestone",AA$7&gt;=$F22,AA$7&lt;=$F22+$G22-1),1,""))</f>
        <v/>
      </c>
      <c r="AB22" s="152" t="str">
        <f aca="false">IF(AND($C22="Goal",AB$7&gt;=$F22,AB$7&lt;=$F22+$G22-1),2,IF(AND($C22="Milestone",AB$7&gt;=$F22,AB$7&lt;=$F22+$G22-1),1,""))</f>
        <v/>
      </c>
      <c r="AC22" s="152" t="str">
        <f aca="false">IF(AND($C22="Goal",AC$7&gt;=$F22,AC$7&lt;=$F22+$G22-1),2,IF(AND($C22="Milestone",AC$7&gt;=$F22,AC$7&lt;=$F22+$G22-1),1,""))</f>
        <v/>
      </c>
      <c r="AD22" s="152" t="str">
        <f aca="false">IF(AND($C22="Goal",AD$7&gt;=$F22,AD$7&lt;=$F22+$G22-1),2,IF(AND($C22="Milestone",AD$7&gt;=$F22,AD$7&lt;=$F22+$G22-1),1,""))</f>
        <v/>
      </c>
      <c r="AE22" s="152" t="str">
        <f aca="false">IF(AND($C22="Goal",AE$7&gt;=$F22,AE$7&lt;=$F22+$G22-1),2,IF(AND($C22="Milestone",AE$7&gt;=$F22,AE$7&lt;=$F22+$G22-1),1,""))</f>
        <v/>
      </c>
      <c r="AF22" s="152" t="str">
        <f aca="false">IF(AND($C22="Goal",AF$7&gt;=$F22,AF$7&lt;=$F22+$G22-1),2,IF(AND($C22="Milestone",AF$7&gt;=$F22,AF$7&lt;=$F22+$G22-1),1,""))</f>
        <v/>
      </c>
      <c r="AG22" s="152" t="str">
        <f aca="false">IF(AND($C22="Goal",AG$7&gt;=$F22,AG$7&lt;=$F22+$G22-1),2,IF(AND($C22="Milestone",AG$7&gt;=$F22,AG$7&lt;=$F22+$G22-1),1,""))</f>
        <v/>
      </c>
      <c r="AH22" s="152" t="str">
        <f aca="false">IF(AND($C22="Goal",AH$7&gt;=$F22,AH$7&lt;=$F22+$G22-1),2,IF(AND($C22="Milestone",AH$7&gt;=$F22,AH$7&lt;=$F22+$G22-1),1,""))</f>
        <v/>
      </c>
      <c r="AI22" s="152" t="str">
        <f aca="false">IF(AND($C22="Goal",AI$7&gt;=$F22,AI$7&lt;=$F22+$G22-1),2,IF(AND($C22="Milestone",AI$7&gt;=$F22,AI$7&lt;=$F22+$G22-1),1,""))</f>
        <v/>
      </c>
      <c r="AJ22" s="152" t="str">
        <f aca="false">IF(AND($C22="Goal",AJ$7&gt;=$F22,AJ$7&lt;=$F22+$G22-1),2,IF(AND($C22="Milestone",AJ$7&gt;=$F22,AJ$7&lt;=$F22+$G22-1),1,""))</f>
        <v/>
      </c>
      <c r="AK22" s="152" t="str">
        <f aca="false">IF(AND($C22="Goal",AK$7&gt;=$F22,AK$7&lt;=$F22+$G22-1),2,IF(AND($C22="Milestone",AK$7&gt;=$F22,AK$7&lt;=$F22+$G22-1),1,""))</f>
        <v/>
      </c>
      <c r="AL22" s="152" t="str">
        <f aca="false">IF(AND($C22="Goal",AL$7&gt;=$F22,AL$7&lt;=$F22+$G22-1),2,IF(AND($C22="Milestone",AL$7&gt;=$F22,AL$7&lt;=$F22+$G22-1),1,""))</f>
        <v/>
      </c>
      <c r="AM22" s="152" t="str">
        <f aca="false">IF(AND($C22="Goal",AM$7&gt;=$F22,AM$7&lt;=$F22+$G22-1),2,IF(AND($C22="Milestone",AM$7&gt;=$F22,AM$7&lt;=$F22+$G22-1),1,""))</f>
        <v/>
      </c>
      <c r="AN22" s="152" t="str">
        <f aca="false">IF(AND($C22="Goal",AN$7&gt;=$F22,AN$7&lt;=$F22+$G22-1),2,IF(AND($C22="Milestone",AN$7&gt;=$F22,AN$7&lt;=$F22+$G22-1),1,""))</f>
        <v/>
      </c>
      <c r="AO22" s="152" t="str">
        <f aca="false">IF(AND($C22="Goal",AO$7&gt;=$F22,AO$7&lt;=$F22+$G22-1),2,IF(AND($C22="Milestone",AO$7&gt;=$F22,AO$7&lt;=$F22+$G22-1),1,""))</f>
        <v/>
      </c>
      <c r="AP22" s="152" t="str">
        <f aca="false">IF(AND($C22="Goal",AP$7&gt;=$F22,AP$7&lt;=$F22+$G22-1),2,IF(AND($C22="Milestone",AP$7&gt;=$F22,AP$7&lt;=$F22+$G22-1),1,""))</f>
        <v/>
      </c>
      <c r="AQ22" s="152" t="str">
        <f aca="false">IF(AND($C22="Goal",AQ$7&gt;=$F22,AQ$7&lt;=$F22+$G22-1),2,IF(AND($C22="Milestone",AQ$7&gt;=$F22,AQ$7&lt;=$F22+$G22-1),1,""))</f>
        <v/>
      </c>
      <c r="AR22" s="152" t="str">
        <f aca="false">IF(AND($C22="Goal",AR$7&gt;=$F22,AR$7&lt;=$F22+$G22-1),2,IF(AND($C22="Milestone",AR$7&gt;=$F22,AR$7&lt;=$F22+$G22-1),1,""))</f>
        <v/>
      </c>
      <c r="AS22" s="152" t="str">
        <f aca="false">IF(AND($C22="Goal",AS$7&gt;=$F22,AS$7&lt;=$F22+$G22-1),2,IF(AND($C22="Milestone",AS$7&gt;=$F22,AS$7&lt;=$F22+$G22-1),1,""))</f>
        <v/>
      </c>
      <c r="AT22" s="152" t="str">
        <f aca="false">IF(AND($C22="Goal",AT$7&gt;=$F22,AT$7&lt;=$F22+$G22-1),2,IF(AND($C22="Milestone",AT$7&gt;=$F22,AT$7&lt;=$F22+$G22-1),1,""))</f>
        <v/>
      </c>
      <c r="AU22" s="152" t="str">
        <f aca="false">IF(AND($C22="Goal",AU$7&gt;=$F22,AU$7&lt;=$F22+$G22-1),2,IF(AND($C22="Milestone",AU$7&gt;=$F22,AU$7&lt;=$F22+$G22-1),1,""))</f>
        <v/>
      </c>
      <c r="AV22" s="152" t="str">
        <f aca="false">IF(AND($C22="Goal",AV$7&gt;=$F22,AV$7&lt;=$F22+$G22-1),2,IF(AND($C22="Milestone",AV$7&gt;=$F22,AV$7&lt;=$F22+$G22-1),1,""))</f>
        <v/>
      </c>
      <c r="AW22" s="152" t="str">
        <f aca="false">IF(AND($C22="Goal",AW$7&gt;=$F22,AW$7&lt;=$F22+$G22-1),2,IF(AND($C22="Milestone",AW$7&gt;=$F22,AW$7&lt;=$F22+$G22-1),1,""))</f>
        <v/>
      </c>
      <c r="AX22" s="152" t="str">
        <f aca="false">IF(AND($C22="Goal",AX$7&gt;=$F22,AX$7&lt;=$F22+$G22-1),2,IF(AND($C22="Milestone",AX$7&gt;=$F22,AX$7&lt;=$F22+$G22-1),1,""))</f>
        <v/>
      </c>
      <c r="AY22" s="152" t="str">
        <f aca="false">IF(AND($C22="Goal",AY$7&gt;=$F22,AY$7&lt;=$F22+$G22-1),2,IF(AND($C22="Milestone",AY$7&gt;=$F22,AY$7&lt;=$F22+$G22-1),1,""))</f>
        <v/>
      </c>
      <c r="AZ22" s="152" t="str">
        <f aca="false">IF(AND($C22="Goal",AZ$7&gt;=$F22,AZ$7&lt;=$F22+$G22-1),2,IF(AND($C22="Milestone",AZ$7&gt;=$F22,AZ$7&lt;=$F22+$G22-1),1,""))</f>
        <v/>
      </c>
      <c r="BA22" s="152" t="str">
        <f aca="false">IF(AND($C22="Goal",BA$7&gt;=$F22,BA$7&lt;=$F22+$G22-1),2,IF(AND($C22="Milestone",BA$7&gt;=$F22,BA$7&lt;=$F22+$G22-1),1,""))</f>
        <v/>
      </c>
      <c r="BB22" s="152" t="str">
        <f aca="false">IF(AND($C22="Goal",BB$7&gt;=$F22,BB$7&lt;=$F22+$G22-1),2,IF(AND($C22="Milestone",BB$7&gt;=$F22,BB$7&lt;=$F22+$G22-1),1,""))</f>
        <v/>
      </c>
      <c r="BC22" s="152" t="str">
        <f aca="false">IF(AND($C22="Goal",BC$7&gt;=$F22,BC$7&lt;=$F22+$G22-1),2,IF(AND($C22="Milestone",BC$7&gt;=$F22,BC$7&lt;=$F22+$G22-1),1,""))</f>
        <v/>
      </c>
      <c r="BD22" s="152" t="str">
        <f aca="false">IF(AND($C22="Goal",BD$7&gt;=$F22,BD$7&lt;=$F22+$G22-1),2,IF(AND($C22="Milestone",BD$7&gt;=$F22,BD$7&lt;=$F22+$G22-1),1,""))</f>
        <v/>
      </c>
      <c r="BE22" s="152" t="str">
        <f aca="false">IF(AND($C22="Goal",BE$7&gt;=$F22,BE$7&lt;=$F22+$G22-1),2,IF(AND($C22="Milestone",BE$7&gt;=$F22,BE$7&lt;=$F22+$G22-1),1,""))</f>
        <v/>
      </c>
      <c r="BF22" s="152" t="str">
        <f aca="false">IF(AND($C22="Goal",BF$7&gt;=$F22,BF$7&lt;=$F22+$G22-1),2,IF(AND($C22="Milestone",BF$7&gt;=$F22,BF$7&lt;=$F22+$G22-1),1,""))</f>
        <v/>
      </c>
      <c r="BG22" s="152" t="str">
        <f aca="false">IF(AND($C22="Goal",BG$7&gt;=$F22,BG$7&lt;=$F22+$G22-1),2,IF(AND($C22="Milestone",BG$7&gt;=$F22,BG$7&lt;=$F22+$G22-1),1,""))</f>
        <v/>
      </c>
      <c r="BH22" s="152" t="str">
        <f aca="false">IF(AND($C22="Goal",BH$7&gt;=$F22,BH$7&lt;=$F22+$G22-1),2,IF(AND($C22="Milestone",BH$7&gt;=$F22,BH$7&lt;=$F22+$G22-1),1,""))</f>
        <v/>
      </c>
      <c r="BI22" s="152" t="str">
        <f aca="false">IF(AND($C22="Goal",BI$7&gt;=$F22,BI$7&lt;=$F22+$G22-1),2,IF(AND($C22="Milestone",BI$7&gt;=$F22,BI$7&lt;=$F22+$G22-1),1,""))</f>
        <v/>
      </c>
      <c r="BJ22" s="152" t="str">
        <f aca="false">IF(AND($C22="Goal",BJ$7&gt;=$F22,BJ$7&lt;=$F22+$G22-1),2,IF(AND($C22="Milestone",BJ$7&gt;=$F22,BJ$7&lt;=$F22+$G22-1),1,""))</f>
        <v/>
      </c>
      <c r="BK22" s="152" t="str">
        <f aca="false">IF(AND($C22="Goal",BK$7&gt;=$F22,BK$7&lt;=$F22+$G22-1),2,IF(AND($C22="Milestone",BK$7&gt;=$F22,BK$7&lt;=$F22+$G22-1),1,""))</f>
        <v/>
      </c>
      <c r="BL22" s="152" t="str">
        <f aca="false">IF(AND($C22="Goal",BL$7&gt;=$F22,BL$7&lt;=$F22+$G22-1),2,IF(AND($C22="Milestone",BL$7&gt;=$F22,BL$7&lt;=$F22+$G22-1),1,""))</f>
        <v/>
      </c>
      <c r="BM22" s="114"/>
    </row>
    <row r="23" s="25" customFormat="true" ht="39.75" hidden="false" customHeight="true" outlineLevel="0" collapsed="false">
      <c r="A23" s="13"/>
      <c r="B23" s="145" t="s">
        <v>91</v>
      </c>
      <c r="C23" s="146"/>
      <c r="D23" s="146"/>
      <c r="E23" s="147"/>
      <c r="F23" s="148"/>
      <c r="G23" s="149"/>
      <c r="H23" s="150"/>
      <c r="I23" s="151" t="str">
        <f aca="false">IF(AND($C23="Goal",I$7&gt;=$F23,I$7&lt;=$F23+$G23-1),2,IF(AND($C23="Milestone",I$7&gt;=$F23,I$7&lt;=$F23+$G23-1),1,""))</f>
        <v/>
      </c>
      <c r="J23" s="152" t="str">
        <f aca="false">IF(AND($C23="Goal",J$7&gt;=$F23,J$7&lt;=$F23+$G23-1),2,IF(AND($C23="Milestone",J$7&gt;=$F23,J$7&lt;=$F23+$G23-1),1,""))</f>
        <v/>
      </c>
      <c r="K23" s="152" t="str">
        <f aca="false">IF(AND($C23="Goal",K$7&gt;=$F23,K$7&lt;=$F23+$G23-1),2,IF(AND($C23="Milestone",K$7&gt;=$F23,K$7&lt;=$F23+$G23-1),1,""))</f>
        <v/>
      </c>
      <c r="L23" s="152" t="str">
        <f aca="false">IF(AND($C23="Goal",L$7&gt;=$F23,L$7&lt;=$F23+$G23-1),2,IF(AND($C23="Milestone",L$7&gt;=$F23,L$7&lt;=$F23+$G23-1),1,""))</f>
        <v/>
      </c>
      <c r="M23" s="152" t="str">
        <f aca="false">IF(AND($C23="Goal",M$7&gt;=$F23,M$7&lt;=$F23+$G23-1),2,IF(AND($C23="Milestone",M$7&gt;=$F23,M$7&lt;=$F23+$G23-1),1,""))</f>
        <v/>
      </c>
      <c r="N23" s="152" t="str">
        <f aca="false">IF(AND($C23="Goal",N$7&gt;=$F23,N$7&lt;=$F23+$G23-1),2,IF(AND($C23="Milestone",N$7&gt;=$F23,N$7&lt;=$F23+$G23-1),1,""))</f>
        <v/>
      </c>
      <c r="O23" s="152" t="str">
        <f aca="false">IF(AND($C23="Goal",O$7&gt;=$F23,O$7&lt;=$F23+$G23-1),2,IF(AND($C23="Milestone",O$7&gt;=$F23,O$7&lt;=$F23+$G23-1),1,""))</f>
        <v/>
      </c>
      <c r="P23" s="152" t="str">
        <f aca="false">IF(AND($C23="Goal",P$7&gt;=$F23,P$7&lt;=$F23+$G23-1),2,IF(AND($C23="Milestone",P$7&gt;=$F23,P$7&lt;=$F23+$G23-1),1,""))</f>
        <v/>
      </c>
      <c r="Q23" s="152" t="str">
        <f aca="false">IF(AND($C23="Goal",Q$7&gt;=$F23,Q$7&lt;=$F23+$G23-1),2,IF(AND($C23="Milestone",Q$7&gt;=$F23,Q$7&lt;=$F23+$G23-1),1,""))</f>
        <v/>
      </c>
      <c r="R23" s="152" t="str">
        <f aca="false">IF(AND($C23="Goal",R$7&gt;=$F23,R$7&lt;=$F23+$G23-1),2,IF(AND($C23="Milestone",R$7&gt;=$F23,R$7&lt;=$F23+$G23-1),1,""))</f>
        <v/>
      </c>
      <c r="S23" s="152" t="str">
        <f aca="false">IF(AND($C23="Goal",S$7&gt;=$F23,S$7&lt;=$F23+$G23-1),2,IF(AND($C23="Milestone",S$7&gt;=$F23,S$7&lt;=$F23+$G23-1),1,""))</f>
        <v/>
      </c>
      <c r="T23" s="152" t="str">
        <f aca="false">IF(AND($C23="Goal",T$7&gt;=$F23,T$7&lt;=$F23+$G23-1),2,IF(AND($C23="Milestone",T$7&gt;=$F23,T$7&lt;=$F23+$G23-1),1,""))</f>
        <v/>
      </c>
      <c r="U23" s="152" t="str">
        <f aca="false">IF(AND($C23="Goal",U$7&gt;=$F23,U$7&lt;=$F23+$G23-1),2,IF(AND($C23="Milestone",U$7&gt;=$F23,U$7&lt;=$F23+$G23-1),1,""))</f>
        <v/>
      </c>
      <c r="V23" s="152" t="str">
        <f aca="false">IF(AND($C23="Goal",V$7&gt;=$F23,V$7&lt;=$F23+$G23-1),2,IF(AND($C23="Milestone",V$7&gt;=$F23,V$7&lt;=$F23+$G23-1),1,""))</f>
        <v/>
      </c>
      <c r="W23" s="152" t="str">
        <f aca="false">IF(AND($C23="Goal",W$7&gt;=$F23,W$7&lt;=$F23+$G23-1),2,IF(AND($C23="Milestone",W$7&gt;=$F23,W$7&lt;=$F23+$G23-1),1,""))</f>
        <v/>
      </c>
      <c r="X23" s="152" t="str">
        <f aca="false">IF(AND($C23="Goal",X$7&gt;=$F23,X$7&lt;=$F23+$G23-1),2,IF(AND($C23="Milestone",X$7&gt;=$F23,X$7&lt;=$F23+$G23-1),1,""))</f>
        <v/>
      </c>
      <c r="Y23" s="152" t="str">
        <f aca="false">IF(AND($C23="Goal",Y$7&gt;=$F23,Y$7&lt;=$F23+$G23-1),2,IF(AND($C23="Milestone",Y$7&gt;=$F23,Y$7&lt;=$F23+$G23-1),1,""))</f>
        <v/>
      </c>
      <c r="Z23" s="152" t="str">
        <f aca="false">IF(AND($C23="Goal",Z$7&gt;=$F23,Z$7&lt;=$F23+$G23-1),2,IF(AND($C23="Milestone",Z$7&gt;=$F23,Z$7&lt;=$F23+$G23-1),1,""))</f>
        <v/>
      </c>
      <c r="AA23" s="152" t="str">
        <f aca="false">IF(AND($C23="Goal",AA$7&gt;=$F23,AA$7&lt;=$F23+$G23-1),2,IF(AND($C23="Milestone",AA$7&gt;=$F23,AA$7&lt;=$F23+$G23-1),1,""))</f>
        <v/>
      </c>
      <c r="AB23" s="152" t="str">
        <f aca="false">IF(AND($C23="Goal",AB$7&gt;=$F23,AB$7&lt;=$F23+$G23-1),2,IF(AND($C23="Milestone",AB$7&gt;=$F23,AB$7&lt;=$F23+$G23-1),1,""))</f>
        <v/>
      </c>
      <c r="AC23" s="152" t="str">
        <f aca="false">IF(AND($C23="Goal",AC$7&gt;=$F23,AC$7&lt;=$F23+$G23-1),2,IF(AND($C23="Milestone",AC$7&gt;=$F23,AC$7&lt;=$F23+$G23-1),1,""))</f>
        <v/>
      </c>
      <c r="AD23" s="152" t="str">
        <f aca="false">IF(AND($C23="Goal",AD$7&gt;=$F23,AD$7&lt;=$F23+$G23-1),2,IF(AND($C23="Milestone",AD$7&gt;=$F23,AD$7&lt;=$F23+$G23-1),1,""))</f>
        <v/>
      </c>
      <c r="AE23" s="152" t="str">
        <f aca="false">IF(AND($C23="Goal",AE$7&gt;=$F23,AE$7&lt;=$F23+$G23-1),2,IF(AND($C23="Milestone",AE$7&gt;=$F23,AE$7&lt;=$F23+$G23-1),1,""))</f>
        <v/>
      </c>
      <c r="AF23" s="152" t="str">
        <f aca="false">IF(AND($C23="Goal",AF$7&gt;=$F23,AF$7&lt;=$F23+$G23-1),2,IF(AND($C23="Milestone",AF$7&gt;=$F23,AF$7&lt;=$F23+$G23-1),1,""))</f>
        <v/>
      </c>
      <c r="AG23" s="152" t="str">
        <f aca="false">IF(AND($C23="Goal",AG$7&gt;=$F23,AG$7&lt;=$F23+$G23-1),2,IF(AND($C23="Milestone",AG$7&gt;=$F23,AG$7&lt;=$F23+$G23-1),1,""))</f>
        <v/>
      </c>
      <c r="AH23" s="152" t="str">
        <f aca="false">IF(AND($C23="Goal",AH$7&gt;=$F23,AH$7&lt;=$F23+$G23-1),2,IF(AND($C23="Milestone",AH$7&gt;=$F23,AH$7&lt;=$F23+$G23-1),1,""))</f>
        <v/>
      </c>
      <c r="AI23" s="152" t="str">
        <f aca="false">IF(AND($C23="Goal",AI$7&gt;=$F23,AI$7&lt;=$F23+$G23-1),2,IF(AND($C23="Milestone",AI$7&gt;=$F23,AI$7&lt;=$F23+$G23-1),1,""))</f>
        <v/>
      </c>
      <c r="AJ23" s="152" t="str">
        <f aca="false">IF(AND($C23="Goal",AJ$7&gt;=$F23,AJ$7&lt;=$F23+$G23-1),2,IF(AND($C23="Milestone",AJ$7&gt;=$F23,AJ$7&lt;=$F23+$G23-1),1,""))</f>
        <v/>
      </c>
      <c r="AK23" s="152" t="str">
        <f aca="false">IF(AND($C23="Goal",AK$7&gt;=$F23,AK$7&lt;=$F23+$G23-1),2,IF(AND($C23="Milestone",AK$7&gt;=$F23,AK$7&lt;=$F23+$G23-1),1,""))</f>
        <v/>
      </c>
      <c r="AL23" s="152" t="str">
        <f aca="false">IF(AND($C23="Goal",AL$7&gt;=$F23,AL$7&lt;=$F23+$G23-1),2,IF(AND($C23="Milestone",AL$7&gt;=$F23,AL$7&lt;=$F23+$G23-1),1,""))</f>
        <v/>
      </c>
      <c r="AM23" s="152" t="str">
        <f aca="false">IF(AND($C23="Goal",AM$7&gt;=$F23,AM$7&lt;=$F23+$G23-1),2,IF(AND($C23="Milestone",AM$7&gt;=$F23,AM$7&lt;=$F23+$G23-1),1,""))</f>
        <v/>
      </c>
      <c r="AN23" s="152" t="str">
        <f aca="false">IF(AND($C23="Goal",AN$7&gt;=$F23,AN$7&lt;=$F23+$G23-1),2,IF(AND($C23="Milestone",AN$7&gt;=$F23,AN$7&lt;=$F23+$G23-1),1,""))</f>
        <v/>
      </c>
      <c r="AO23" s="152" t="str">
        <f aca="false">IF(AND($C23="Goal",AO$7&gt;=$F23,AO$7&lt;=$F23+$G23-1),2,IF(AND($C23="Milestone",AO$7&gt;=$F23,AO$7&lt;=$F23+$G23-1),1,""))</f>
        <v/>
      </c>
      <c r="AP23" s="152" t="str">
        <f aca="false">IF(AND($C23="Goal",AP$7&gt;=$F23,AP$7&lt;=$F23+$G23-1),2,IF(AND($C23="Milestone",AP$7&gt;=$F23,AP$7&lt;=$F23+$G23-1),1,""))</f>
        <v/>
      </c>
      <c r="AQ23" s="152" t="str">
        <f aca="false">IF(AND($C23="Goal",AQ$7&gt;=$F23,AQ$7&lt;=$F23+$G23-1),2,IF(AND($C23="Milestone",AQ$7&gt;=$F23,AQ$7&lt;=$F23+$G23-1),1,""))</f>
        <v/>
      </c>
      <c r="AR23" s="152" t="str">
        <f aca="false">IF(AND($C23="Goal",AR$7&gt;=$F23,AR$7&lt;=$F23+$G23-1),2,IF(AND($C23="Milestone",AR$7&gt;=$F23,AR$7&lt;=$F23+$G23-1),1,""))</f>
        <v/>
      </c>
      <c r="AS23" s="152" t="str">
        <f aca="false">IF(AND($C23="Goal",AS$7&gt;=$F23,AS$7&lt;=$F23+$G23-1),2,IF(AND($C23="Milestone",AS$7&gt;=$F23,AS$7&lt;=$F23+$G23-1),1,""))</f>
        <v/>
      </c>
      <c r="AT23" s="152" t="str">
        <f aca="false">IF(AND($C23="Goal",AT$7&gt;=$F23,AT$7&lt;=$F23+$G23-1),2,IF(AND($C23="Milestone",AT$7&gt;=$F23,AT$7&lt;=$F23+$G23-1),1,""))</f>
        <v/>
      </c>
      <c r="AU23" s="152" t="str">
        <f aca="false">IF(AND($C23="Goal",AU$7&gt;=$F23,AU$7&lt;=$F23+$G23-1),2,IF(AND($C23="Milestone",AU$7&gt;=$F23,AU$7&lt;=$F23+$G23-1),1,""))</f>
        <v/>
      </c>
      <c r="AV23" s="152" t="str">
        <f aca="false">IF(AND($C23="Goal",AV$7&gt;=$F23,AV$7&lt;=$F23+$G23-1),2,IF(AND($C23="Milestone",AV$7&gt;=$F23,AV$7&lt;=$F23+$G23-1),1,""))</f>
        <v/>
      </c>
      <c r="AW23" s="152" t="str">
        <f aca="false">IF(AND($C23="Goal",AW$7&gt;=$F23,AW$7&lt;=$F23+$G23-1),2,IF(AND($C23="Milestone",AW$7&gt;=$F23,AW$7&lt;=$F23+$G23-1),1,""))</f>
        <v/>
      </c>
      <c r="AX23" s="152" t="str">
        <f aca="false">IF(AND($C23="Goal",AX$7&gt;=$F23,AX$7&lt;=$F23+$G23-1),2,IF(AND($C23="Milestone",AX$7&gt;=$F23,AX$7&lt;=$F23+$G23-1),1,""))</f>
        <v/>
      </c>
      <c r="AY23" s="152" t="str">
        <f aca="false">IF(AND($C23="Goal",AY$7&gt;=$F23,AY$7&lt;=$F23+$G23-1),2,IF(AND($C23="Milestone",AY$7&gt;=$F23,AY$7&lt;=$F23+$G23-1),1,""))</f>
        <v/>
      </c>
      <c r="AZ23" s="152" t="str">
        <f aca="false">IF(AND($C23="Goal",AZ$7&gt;=$F23,AZ$7&lt;=$F23+$G23-1),2,IF(AND($C23="Milestone",AZ$7&gt;=$F23,AZ$7&lt;=$F23+$G23-1),1,""))</f>
        <v/>
      </c>
      <c r="BA23" s="152" t="str">
        <f aca="false">IF(AND($C23="Goal",BA$7&gt;=$F23,BA$7&lt;=$F23+$G23-1),2,IF(AND($C23="Milestone",BA$7&gt;=$F23,BA$7&lt;=$F23+$G23-1),1,""))</f>
        <v/>
      </c>
      <c r="BB23" s="152" t="str">
        <f aca="false">IF(AND($C23="Goal",BB$7&gt;=$F23,BB$7&lt;=$F23+$G23-1),2,IF(AND($C23="Milestone",BB$7&gt;=$F23,BB$7&lt;=$F23+$G23-1),1,""))</f>
        <v/>
      </c>
      <c r="BC23" s="152" t="str">
        <f aca="false">IF(AND($C23="Goal",BC$7&gt;=$F23,BC$7&lt;=$F23+$G23-1),2,IF(AND($C23="Milestone",BC$7&gt;=$F23,BC$7&lt;=$F23+$G23-1),1,""))</f>
        <v/>
      </c>
      <c r="BD23" s="152" t="str">
        <f aca="false">IF(AND($C23="Goal",BD$7&gt;=$F23,BD$7&lt;=$F23+$G23-1),2,IF(AND($C23="Milestone",BD$7&gt;=$F23,BD$7&lt;=$F23+$G23-1),1,""))</f>
        <v/>
      </c>
      <c r="BE23" s="152" t="str">
        <f aca="false">IF(AND($C23="Goal",BE$7&gt;=$F23,BE$7&lt;=$F23+$G23-1),2,IF(AND($C23="Milestone",BE$7&gt;=$F23,BE$7&lt;=$F23+$G23-1),1,""))</f>
        <v/>
      </c>
      <c r="BF23" s="152" t="str">
        <f aca="false">IF(AND($C23="Goal",BF$7&gt;=$F23,BF$7&lt;=$F23+$G23-1),2,IF(AND($C23="Milestone",BF$7&gt;=$F23,BF$7&lt;=$F23+$G23-1),1,""))</f>
        <v/>
      </c>
      <c r="BG23" s="152" t="str">
        <f aca="false">IF(AND($C23="Goal",BG$7&gt;=$F23,BG$7&lt;=$F23+$G23-1),2,IF(AND($C23="Milestone",BG$7&gt;=$F23,BG$7&lt;=$F23+$G23-1),1,""))</f>
        <v/>
      </c>
      <c r="BH23" s="152" t="str">
        <f aca="false">IF(AND($C23="Goal",BH$7&gt;=$F23,BH$7&lt;=$F23+$G23-1),2,IF(AND($C23="Milestone",BH$7&gt;=$F23,BH$7&lt;=$F23+$G23-1),1,""))</f>
        <v/>
      </c>
      <c r="BI23" s="152" t="str">
        <f aca="false">IF(AND($C23="Goal",BI$7&gt;=$F23,BI$7&lt;=$F23+$G23-1),2,IF(AND($C23="Milestone",BI$7&gt;=$F23,BI$7&lt;=$F23+$G23-1),1,""))</f>
        <v/>
      </c>
      <c r="BJ23" s="152" t="str">
        <f aca="false">IF(AND($C23="Goal",BJ$7&gt;=$F23,BJ$7&lt;=$F23+$G23-1),2,IF(AND($C23="Milestone",BJ$7&gt;=$F23,BJ$7&lt;=$F23+$G23-1),1,""))</f>
        <v/>
      </c>
      <c r="BK23" s="152" t="str">
        <f aca="false">IF(AND($C23="Goal",BK$7&gt;=$F23,BK$7&lt;=$F23+$G23-1),2,IF(AND($C23="Milestone",BK$7&gt;=$F23,BK$7&lt;=$F23+$G23-1),1,""))</f>
        <v/>
      </c>
      <c r="BL23" s="152" t="str">
        <f aca="false">IF(AND($C23="Goal",BL$7&gt;=$F23,BL$7&lt;=$F23+$G23-1),2,IF(AND($C23="Milestone",BL$7&gt;=$F23,BL$7&lt;=$F23+$G23-1),1,""))</f>
        <v/>
      </c>
      <c r="BM23" s="114"/>
    </row>
    <row r="24" s="25" customFormat="true" ht="39.75" hidden="false" customHeight="true" outlineLevel="0" collapsed="false">
      <c r="A24" s="13"/>
      <c r="B24" s="153" t="s">
        <v>81</v>
      </c>
      <c r="C24" s="146" t="s">
        <v>90</v>
      </c>
      <c r="D24" s="146"/>
      <c r="E24" s="147"/>
      <c r="F24" s="148" t="n">
        <f aca="false">F12+15</f>
        <v>45980</v>
      </c>
      <c r="G24" s="149" t="n">
        <v>4</v>
      </c>
      <c r="H24" s="150"/>
      <c r="I24" s="151" t="str">
        <f aca="false">IF(AND($C24="Goal",I$7&gt;=$F24,I$7&lt;=$F24+$G24-1),2,IF(AND($C24="Milestone",I$7&gt;=$F24,I$7&lt;=$F24+$G24-1),1,""))</f>
        <v/>
      </c>
      <c r="J24" s="152" t="str">
        <f aca="false">IF(AND($C24="Goal",J$7&gt;=$F24,J$7&lt;=$F24+$G24-1),2,IF(AND($C24="Milestone",J$7&gt;=$F24,J$7&lt;=$F24+$G24-1),1,""))</f>
        <v/>
      </c>
      <c r="K24" s="152" t="str">
        <f aca="false">IF(AND($C24="Goal",K$7&gt;=$F24,K$7&lt;=$F24+$G24-1),2,IF(AND($C24="Milestone",K$7&gt;=$F24,K$7&lt;=$F24+$G24-1),1,""))</f>
        <v/>
      </c>
      <c r="L24" s="152" t="str">
        <f aca="false">IF(AND($C24="Goal",L$7&gt;=$F24,L$7&lt;=$F24+$G24-1),2,IF(AND($C24="Milestone",L$7&gt;=$F24,L$7&lt;=$F24+$G24-1),1,""))</f>
        <v/>
      </c>
      <c r="M24" s="152" t="str">
        <f aca="false">IF(AND($C24="Goal",M$7&gt;=$F24,M$7&lt;=$F24+$G24-1),2,IF(AND($C24="Milestone",M$7&gt;=$F24,M$7&lt;=$F24+$G24-1),1,""))</f>
        <v/>
      </c>
      <c r="N24" s="152" t="str">
        <f aca="false">IF(AND($C24="Goal",N$7&gt;=$F24,N$7&lt;=$F24+$G24-1),2,IF(AND($C24="Milestone",N$7&gt;=$F24,N$7&lt;=$F24+$G24-1),1,""))</f>
        <v/>
      </c>
      <c r="O24" s="152" t="str">
        <f aca="false">IF(AND($C24="Goal",O$7&gt;=$F24,O$7&lt;=$F24+$G24-1),2,IF(AND($C24="Milestone",O$7&gt;=$F24,O$7&lt;=$F24+$G24-1),1,""))</f>
        <v/>
      </c>
      <c r="P24" s="152" t="str">
        <f aca="false">IF(AND($C24="Goal",P$7&gt;=$F24,P$7&lt;=$F24+$G24-1),2,IF(AND($C24="Milestone",P$7&gt;=$F24,P$7&lt;=$F24+$G24-1),1,""))</f>
        <v/>
      </c>
      <c r="Q24" s="152" t="str">
        <f aca="false">IF(AND($C24="Goal",Q$7&gt;=$F24,Q$7&lt;=$F24+$G24-1),2,IF(AND($C24="Milestone",Q$7&gt;=$F24,Q$7&lt;=$F24+$G24-1),1,""))</f>
        <v/>
      </c>
      <c r="R24" s="152" t="str">
        <f aca="false">IF(AND($C24="Goal",R$7&gt;=$F24,R$7&lt;=$F24+$G24-1),2,IF(AND($C24="Milestone",R$7&gt;=$F24,R$7&lt;=$F24+$G24-1),1,""))</f>
        <v/>
      </c>
      <c r="S24" s="152" t="str">
        <f aca="false">IF(AND($C24="Goal",S$7&gt;=$F24,S$7&lt;=$F24+$G24-1),2,IF(AND($C24="Milestone",S$7&gt;=$F24,S$7&lt;=$F24+$G24-1),1,""))</f>
        <v/>
      </c>
      <c r="T24" s="152" t="str">
        <f aca="false">IF(AND($C24="Goal",T$7&gt;=$F24,T$7&lt;=$F24+$G24-1),2,IF(AND($C24="Milestone",T$7&gt;=$F24,T$7&lt;=$F24+$G24-1),1,""))</f>
        <v/>
      </c>
      <c r="U24" s="152" t="str">
        <f aca="false">IF(AND($C24="Goal",U$7&gt;=$F24,U$7&lt;=$F24+$G24-1),2,IF(AND($C24="Milestone",U$7&gt;=$F24,U$7&lt;=$F24+$G24-1),1,""))</f>
        <v/>
      </c>
      <c r="V24" s="152" t="str">
        <f aca="false">IF(AND($C24="Goal",V$7&gt;=$F24,V$7&lt;=$F24+$G24-1),2,IF(AND($C24="Milestone",V$7&gt;=$F24,V$7&lt;=$F24+$G24-1),1,""))</f>
        <v/>
      </c>
      <c r="W24" s="152" t="str">
        <f aca="false">IF(AND($C24="Goal",W$7&gt;=$F24,W$7&lt;=$F24+$G24-1),2,IF(AND($C24="Milestone",W$7&gt;=$F24,W$7&lt;=$F24+$G24-1),1,""))</f>
        <v/>
      </c>
      <c r="X24" s="152" t="str">
        <f aca="false">IF(AND($C24="Goal",X$7&gt;=$F24,X$7&lt;=$F24+$G24-1),2,IF(AND($C24="Milestone",X$7&gt;=$F24,X$7&lt;=$F24+$G24-1),1,""))</f>
        <v/>
      </c>
      <c r="Y24" s="152" t="str">
        <f aca="false">IF(AND($C24="Goal",Y$7&gt;=$F24,Y$7&lt;=$F24+$G24-1),2,IF(AND($C24="Milestone",Y$7&gt;=$F24,Y$7&lt;=$F24+$G24-1),1,""))</f>
        <v/>
      </c>
      <c r="Z24" s="152" t="str">
        <f aca="false">IF(AND($C24="Goal",Z$7&gt;=$F24,Z$7&lt;=$F24+$G24-1),2,IF(AND($C24="Milestone",Z$7&gt;=$F24,Z$7&lt;=$F24+$G24-1),1,""))</f>
        <v/>
      </c>
      <c r="AA24" s="152" t="str">
        <f aca="false">IF(AND($C24="Goal",AA$7&gt;=$F24,AA$7&lt;=$F24+$G24-1),2,IF(AND($C24="Milestone",AA$7&gt;=$F24,AA$7&lt;=$F24+$G24-1),1,""))</f>
        <v/>
      </c>
      <c r="AB24" s="152" t="str">
        <f aca="false">IF(AND($C24="Goal",AB$7&gt;=$F24,AB$7&lt;=$F24+$G24-1),2,IF(AND($C24="Milestone",AB$7&gt;=$F24,AB$7&lt;=$F24+$G24-1),1,""))</f>
        <v/>
      </c>
      <c r="AC24" s="152" t="str">
        <f aca="false">IF(AND($C24="Goal",AC$7&gt;=$F24,AC$7&lt;=$F24+$G24-1),2,IF(AND($C24="Milestone",AC$7&gt;=$F24,AC$7&lt;=$F24+$G24-1),1,""))</f>
        <v/>
      </c>
      <c r="AD24" s="152" t="str">
        <f aca="false">IF(AND($C24="Goal",AD$7&gt;=$F24,AD$7&lt;=$F24+$G24-1),2,IF(AND($C24="Milestone",AD$7&gt;=$F24,AD$7&lt;=$F24+$G24-1),1,""))</f>
        <v/>
      </c>
      <c r="AE24" s="152" t="str">
        <f aca="false">IF(AND($C24="Goal",AE$7&gt;=$F24,AE$7&lt;=$F24+$G24-1),2,IF(AND($C24="Milestone",AE$7&gt;=$F24,AE$7&lt;=$F24+$G24-1),1,""))</f>
        <v/>
      </c>
      <c r="AF24" s="152" t="str">
        <f aca="false">IF(AND($C24="Goal",AF$7&gt;=$F24,AF$7&lt;=$F24+$G24-1),2,IF(AND($C24="Milestone",AF$7&gt;=$F24,AF$7&lt;=$F24+$G24-1),1,""))</f>
        <v/>
      </c>
      <c r="AG24" s="152" t="str">
        <f aca="false">IF(AND($C24="Goal",AG$7&gt;=$F24,AG$7&lt;=$F24+$G24-1),2,IF(AND($C24="Milestone",AG$7&gt;=$F24,AG$7&lt;=$F24+$G24-1),1,""))</f>
        <v/>
      </c>
      <c r="AH24" s="152" t="str">
        <f aca="false">IF(AND($C24="Goal",AH$7&gt;=$F24,AH$7&lt;=$F24+$G24-1),2,IF(AND($C24="Milestone",AH$7&gt;=$F24,AH$7&lt;=$F24+$G24-1),1,""))</f>
        <v/>
      </c>
      <c r="AI24" s="152" t="str">
        <f aca="false">IF(AND($C24="Goal",AI$7&gt;=$F24,AI$7&lt;=$F24+$G24-1),2,IF(AND($C24="Milestone",AI$7&gt;=$F24,AI$7&lt;=$F24+$G24-1),1,""))</f>
        <v/>
      </c>
      <c r="AJ24" s="152" t="str">
        <f aca="false">IF(AND($C24="Goal",AJ$7&gt;=$F24,AJ$7&lt;=$F24+$G24-1),2,IF(AND($C24="Milestone",AJ$7&gt;=$F24,AJ$7&lt;=$F24+$G24-1),1,""))</f>
        <v/>
      </c>
      <c r="AK24" s="152" t="str">
        <f aca="false">IF(AND($C24="Goal",AK$7&gt;=$F24,AK$7&lt;=$F24+$G24-1),2,IF(AND($C24="Milestone",AK$7&gt;=$F24,AK$7&lt;=$F24+$G24-1),1,""))</f>
        <v/>
      </c>
      <c r="AL24" s="152" t="str">
        <f aca="false">IF(AND($C24="Goal",AL$7&gt;=$F24,AL$7&lt;=$F24+$G24-1),2,IF(AND($C24="Milestone",AL$7&gt;=$F24,AL$7&lt;=$F24+$G24-1),1,""))</f>
        <v/>
      </c>
      <c r="AM24" s="152" t="str">
        <f aca="false">IF(AND($C24="Goal",AM$7&gt;=$F24,AM$7&lt;=$F24+$G24-1),2,IF(AND($C24="Milestone",AM$7&gt;=$F24,AM$7&lt;=$F24+$G24-1),1,""))</f>
        <v/>
      </c>
      <c r="AN24" s="152" t="str">
        <f aca="false">IF(AND($C24="Goal",AN$7&gt;=$F24,AN$7&lt;=$F24+$G24-1),2,IF(AND($C24="Milestone",AN$7&gt;=$F24,AN$7&lt;=$F24+$G24-1),1,""))</f>
        <v/>
      </c>
      <c r="AO24" s="152" t="str">
        <f aca="false">IF(AND($C24="Goal",AO$7&gt;=$F24,AO$7&lt;=$F24+$G24-1),2,IF(AND($C24="Milestone",AO$7&gt;=$F24,AO$7&lt;=$F24+$G24-1),1,""))</f>
        <v/>
      </c>
      <c r="AP24" s="152" t="str">
        <f aca="false">IF(AND($C24="Goal",AP$7&gt;=$F24,AP$7&lt;=$F24+$G24-1),2,IF(AND($C24="Milestone",AP$7&gt;=$F24,AP$7&lt;=$F24+$G24-1),1,""))</f>
        <v/>
      </c>
      <c r="AQ24" s="152" t="str">
        <f aca="false">IF(AND($C24="Goal",AQ$7&gt;=$F24,AQ$7&lt;=$F24+$G24-1),2,IF(AND($C24="Milestone",AQ$7&gt;=$F24,AQ$7&lt;=$F24+$G24-1),1,""))</f>
        <v/>
      </c>
      <c r="AR24" s="152" t="str">
        <f aca="false">IF(AND($C24="Goal",AR$7&gt;=$F24,AR$7&lt;=$F24+$G24-1),2,IF(AND($C24="Milestone",AR$7&gt;=$F24,AR$7&lt;=$F24+$G24-1),1,""))</f>
        <v/>
      </c>
      <c r="AS24" s="152" t="str">
        <f aca="false">IF(AND($C24="Goal",AS$7&gt;=$F24,AS$7&lt;=$F24+$G24-1),2,IF(AND($C24="Milestone",AS$7&gt;=$F24,AS$7&lt;=$F24+$G24-1),1,""))</f>
        <v/>
      </c>
      <c r="AT24" s="152" t="str">
        <f aca="false">IF(AND($C24="Goal",AT$7&gt;=$F24,AT$7&lt;=$F24+$G24-1),2,IF(AND($C24="Milestone",AT$7&gt;=$F24,AT$7&lt;=$F24+$G24-1),1,""))</f>
        <v/>
      </c>
      <c r="AU24" s="152" t="str">
        <f aca="false">IF(AND($C24="Goal",AU$7&gt;=$F24,AU$7&lt;=$F24+$G24-1),2,IF(AND($C24="Milestone",AU$7&gt;=$F24,AU$7&lt;=$F24+$G24-1),1,""))</f>
        <v/>
      </c>
      <c r="AV24" s="152" t="str">
        <f aca="false">IF(AND($C24="Goal",AV$7&gt;=$F24,AV$7&lt;=$F24+$G24-1),2,IF(AND($C24="Milestone",AV$7&gt;=$F24,AV$7&lt;=$F24+$G24-1),1,""))</f>
        <v/>
      </c>
      <c r="AW24" s="152" t="str">
        <f aca="false">IF(AND($C24="Goal",AW$7&gt;=$F24,AW$7&lt;=$F24+$G24-1),2,IF(AND($C24="Milestone",AW$7&gt;=$F24,AW$7&lt;=$F24+$G24-1),1,""))</f>
        <v/>
      </c>
      <c r="AX24" s="152" t="str">
        <f aca="false">IF(AND($C24="Goal",AX$7&gt;=$F24,AX$7&lt;=$F24+$G24-1),2,IF(AND($C24="Milestone",AX$7&gt;=$F24,AX$7&lt;=$F24+$G24-1),1,""))</f>
        <v/>
      </c>
      <c r="AY24" s="152" t="str">
        <f aca="false">IF(AND($C24="Goal",AY$7&gt;=$F24,AY$7&lt;=$F24+$G24-1),2,IF(AND($C24="Milestone",AY$7&gt;=$F24,AY$7&lt;=$F24+$G24-1),1,""))</f>
        <v/>
      </c>
      <c r="AZ24" s="152" t="str">
        <f aca="false">IF(AND($C24="Goal",AZ$7&gt;=$F24,AZ$7&lt;=$F24+$G24-1),2,IF(AND($C24="Milestone",AZ$7&gt;=$F24,AZ$7&lt;=$F24+$G24-1),1,""))</f>
        <v/>
      </c>
      <c r="BA24" s="152" t="str">
        <f aca="false">IF(AND($C24="Goal",BA$7&gt;=$F24,BA$7&lt;=$F24+$G24-1),2,IF(AND($C24="Milestone",BA$7&gt;=$F24,BA$7&lt;=$F24+$G24-1),1,""))</f>
        <v/>
      </c>
      <c r="BB24" s="152" t="str">
        <f aca="false">IF(AND($C24="Goal",BB$7&gt;=$F24,BB$7&lt;=$F24+$G24-1),2,IF(AND($C24="Milestone",BB$7&gt;=$F24,BB$7&lt;=$F24+$G24-1),1,""))</f>
        <v/>
      </c>
      <c r="BC24" s="152" t="str">
        <f aca="false">IF(AND($C24="Goal",BC$7&gt;=$F24,BC$7&lt;=$F24+$G24-1),2,IF(AND($C24="Milestone",BC$7&gt;=$F24,BC$7&lt;=$F24+$G24-1),1,""))</f>
        <v/>
      </c>
      <c r="BD24" s="152" t="str">
        <f aca="false">IF(AND($C24="Goal",BD$7&gt;=$F24,BD$7&lt;=$F24+$G24-1),2,IF(AND($C24="Milestone",BD$7&gt;=$F24,BD$7&lt;=$F24+$G24-1),1,""))</f>
        <v/>
      </c>
      <c r="BE24" s="152" t="str">
        <f aca="false">IF(AND($C24="Goal",BE$7&gt;=$F24,BE$7&lt;=$F24+$G24-1),2,IF(AND($C24="Milestone",BE$7&gt;=$F24,BE$7&lt;=$F24+$G24-1),1,""))</f>
        <v/>
      </c>
      <c r="BF24" s="152" t="str">
        <f aca="false">IF(AND($C24="Goal",BF$7&gt;=$F24,BF$7&lt;=$F24+$G24-1),2,IF(AND($C24="Milestone",BF$7&gt;=$F24,BF$7&lt;=$F24+$G24-1),1,""))</f>
        <v/>
      </c>
      <c r="BG24" s="152" t="str">
        <f aca="false">IF(AND($C24="Goal",BG$7&gt;=$F24,BG$7&lt;=$F24+$G24-1),2,IF(AND($C24="Milestone",BG$7&gt;=$F24,BG$7&lt;=$F24+$G24-1),1,""))</f>
        <v/>
      </c>
      <c r="BH24" s="152" t="str">
        <f aca="false">IF(AND($C24="Goal",BH$7&gt;=$F24,BH$7&lt;=$F24+$G24-1),2,IF(AND($C24="Milestone",BH$7&gt;=$F24,BH$7&lt;=$F24+$G24-1),1,""))</f>
        <v/>
      </c>
      <c r="BI24" s="152" t="str">
        <f aca="false">IF(AND($C24="Goal",BI$7&gt;=$F24,BI$7&lt;=$F24+$G24-1),2,IF(AND($C24="Milestone",BI$7&gt;=$F24,BI$7&lt;=$F24+$G24-1),1,""))</f>
        <v/>
      </c>
      <c r="BJ24" s="152" t="str">
        <f aca="false">IF(AND($C24="Goal",BJ$7&gt;=$F24,BJ$7&lt;=$F24+$G24-1),2,IF(AND($C24="Milestone",BJ$7&gt;=$F24,BJ$7&lt;=$F24+$G24-1),1,""))</f>
        <v/>
      </c>
      <c r="BK24" s="152" t="str">
        <f aca="false">IF(AND($C24="Goal",BK$7&gt;=$F24,BK$7&lt;=$F24+$G24-1),2,IF(AND($C24="Milestone",BK$7&gt;=$F24,BK$7&lt;=$F24+$G24-1),1,""))</f>
        <v/>
      </c>
      <c r="BL24" s="152" t="str">
        <f aca="false">IF(AND($C24="Goal",BL$7&gt;=$F24,BL$7&lt;=$F24+$G24-1),2,IF(AND($C24="Milestone",BL$7&gt;=$F24,BL$7&lt;=$F24+$G24-1),1,""))</f>
        <v/>
      </c>
      <c r="BM24" s="114"/>
    </row>
    <row r="25" s="25" customFormat="true" ht="39.75" hidden="false" customHeight="true" outlineLevel="0" collapsed="false">
      <c r="A25" s="13"/>
      <c r="B25" s="153" t="s">
        <v>84</v>
      </c>
      <c r="C25" s="146" t="s">
        <v>20</v>
      </c>
      <c r="D25" s="146"/>
      <c r="E25" s="147"/>
      <c r="F25" s="148" t="n">
        <f aca="false">F24+3</f>
        <v>45983</v>
      </c>
      <c r="G25" s="149" t="n">
        <v>14</v>
      </c>
      <c r="H25" s="150"/>
      <c r="I25" s="151" t="str">
        <f aca="false">IF(AND($C25="Goal",I$7&gt;=$F25,I$7&lt;=$F25+$G25-1),2,IF(AND($C25="Milestone",I$7&gt;=$F25,I$7&lt;=$F25+$G25-1),1,""))</f>
        <v/>
      </c>
      <c r="J25" s="152" t="str">
        <f aca="false">IF(AND($C25="Goal",J$7&gt;=$F25,J$7&lt;=$F25+$G25-1),2,IF(AND($C25="Milestone",J$7&gt;=$F25,J$7&lt;=$F25+$G25-1),1,""))</f>
        <v/>
      </c>
      <c r="K25" s="152" t="str">
        <f aca="false">IF(AND($C25="Goal",K$7&gt;=$F25,K$7&lt;=$F25+$G25-1),2,IF(AND($C25="Milestone",K$7&gt;=$F25,K$7&lt;=$F25+$G25-1),1,""))</f>
        <v/>
      </c>
      <c r="L25" s="152" t="str">
        <f aca="false">IF(AND($C25="Goal",L$7&gt;=$F25,L$7&lt;=$F25+$G25-1),2,IF(AND($C25="Milestone",L$7&gt;=$F25,L$7&lt;=$F25+$G25-1),1,""))</f>
        <v/>
      </c>
      <c r="M25" s="152" t="str">
        <f aca="false">IF(AND($C25="Goal",M$7&gt;=$F25,M$7&lt;=$F25+$G25-1),2,IF(AND($C25="Milestone",M$7&gt;=$F25,M$7&lt;=$F25+$G25-1),1,""))</f>
        <v/>
      </c>
      <c r="N25" s="152" t="str">
        <f aca="false">IF(AND($C25="Goal",N$7&gt;=$F25,N$7&lt;=$F25+$G25-1),2,IF(AND($C25="Milestone",N$7&gt;=$F25,N$7&lt;=$F25+$G25-1),1,""))</f>
        <v/>
      </c>
      <c r="O25" s="152" t="str">
        <f aca="false">IF(AND($C25="Goal",O$7&gt;=$F25,O$7&lt;=$F25+$G25-1),2,IF(AND($C25="Milestone",O$7&gt;=$F25,O$7&lt;=$F25+$G25-1),1,""))</f>
        <v/>
      </c>
      <c r="P25" s="152" t="str">
        <f aca="false">IF(AND($C25="Goal",P$7&gt;=$F25,P$7&lt;=$F25+$G25-1),2,IF(AND($C25="Milestone",P$7&gt;=$F25,P$7&lt;=$F25+$G25-1),1,""))</f>
        <v/>
      </c>
      <c r="Q25" s="152" t="str">
        <f aca="false">IF(AND($C25="Goal",Q$7&gt;=$F25,Q$7&lt;=$F25+$G25-1),2,IF(AND($C25="Milestone",Q$7&gt;=$F25,Q$7&lt;=$F25+$G25-1),1,""))</f>
        <v/>
      </c>
      <c r="R25" s="152" t="str">
        <f aca="false">IF(AND($C25="Goal",R$7&gt;=$F25,R$7&lt;=$F25+$G25-1),2,IF(AND($C25="Milestone",R$7&gt;=$F25,R$7&lt;=$F25+$G25-1),1,""))</f>
        <v/>
      </c>
      <c r="S25" s="152" t="str">
        <f aca="false">IF(AND($C25="Goal",S$7&gt;=$F25,S$7&lt;=$F25+$G25-1),2,IF(AND($C25="Milestone",S$7&gt;=$F25,S$7&lt;=$F25+$G25-1),1,""))</f>
        <v/>
      </c>
      <c r="T25" s="152" t="str">
        <f aca="false">IF(AND($C25="Goal",T$7&gt;=$F25,T$7&lt;=$F25+$G25-1),2,IF(AND($C25="Milestone",T$7&gt;=$F25,T$7&lt;=$F25+$G25-1),1,""))</f>
        <v/>
      </c>
      <c r="U25" s="152" t="str">
        <f aca="false">IF(AND($C25="Goal",U$7&gt;=$F25,U$7&lt;=$F25+$G25-1),2,IF(AND($C25="Milestone",U$7&gt;=$F25,U$7&lt;=$F25+$G25-1),1,""))</f>
        <v/>
      </c>
      <c r="V25" s="152" t="str">
        <f aca="false">IF(AND($C25="Goal",V$7&gt;=$F25,V$7&lt;=$F25+$G25-1),2,IF(AND($C25="Milestone",V$7&gt;=$F25,V$7&lt;=$F25+$G25-1),1,""))</f>
        <v/>
      </c>
      <c r="W25" s="152" t="str">
        <f aca="false">IF(AND($C25="Goal",W$7&gt;=$F25,W$7&lt;=$F25+$G25-1),2,IF(AND($C25="Milestone",W$7&gt;=$F25,W$7&lt;=$F25+$G25-1),1,""))</f>
        <v/>
      </c>
      <c r="X25" s="152" t="str">
        <f aca="false">IF(AND($C25="Goal",X$7&gt;=$F25,X$7&lt;=$F25+$G25-1),2,IF(AND($C25="Milestone",X$7&gt;=$F25,X$7&lt;=$F25+$G25-1),1,""))</f>
        <v/>
      </c>
      <c r="Y25" s="152" t="str">
        <f aca="false">IF(AND($C25="Goal",Y$7&gt;=$F25,Y$7&lt;=$F25+$G25-1),2,IF(AND($C25="Milestone",Y$7&gt;=$F25,Y$7&lt;=$F25+$G25-1),1,""))</f>
        <v/>
      </c>
      <c r="Z25" s="152" t="str">
        <f aca="false">IF(AND($C25="Goal",Z$7&gt;=$F25,Z$7&lt;=$F25+$G25-1),2,IF(AND($C25="Milestone",Z$7&gt;=$F25,Z$7&lt;=$F25+$G25-1),1,""))</f>
        <v/>
      </c>
      <c r="AA25" s="152" t="str">
        <f aca="false">IF(AND($C25="Goal",AA$7&gt;=$F25,AA$7&lt;=$F25+$G25-1),2,IF(AND($C25="Milestone",AA$7&gt;=$F25,AA$7&lt;=$F25+$G25-1),1,""))</f>
        <v/>
      </c>
      <c r="AB25" s="152" t="str">
        <f aca="false">IF(AND($C25="Goal",AB$7&gt;=$F25,AB$7&lt;=$F25+$G25-1),2,IF(AND($C25="Milestone",AB$7&gt;=$F25,AB$7&lt;=$F25+$G25-1),1,""))</f>
        <v/>
      </c>
      <c r="AC25" s="152" t="str">
        <f aca="false">IF(AND($C25="Goal",AC$7&gt;=$F25,AC$7&lt;=$F25+$G25-1),2,IF(AND($C25="Milestone",AC$7&gt;=$F25,AC$7&lt;=$F25+$G25-1),1,""))</f>
        <v/>
      </c>
      <c r="AD25" s="152" t="str">
        <f aca="false">IF(AND($C25="Goal",AD$7&gt;=$F25,AD$7&lt;=$F25+$G25-1),2,IF(AND($C25="Milestone",AD$7&gt;=$F25,AD$7&lt;=$F25+$G25-1),1,""))</f>
        <v/>
      </c>
      <c r="AE25" s="152" t="str">
        <f aca="false">IF(AND($C25="Goal",AE$7&gt;=$F25,AE$7&lt;=$F25+$G25-1),2,IF(AND($C25="Milestone",AE$7&gt;=$F25,AE$7&lt;=$F25+$G25-1),1,""))</f>
        <v/>
      </c>
      <c r="AF25" s="152" t="str">
        <f aca="false">IF(AND($C25="Goal",AF$7&gt;=$F25,AF$7&lt;=$F25+$G25-1),2,IF(AND($C25="Milestone",AF$7&gt;=$F25,AF$7&lt;=$F25+$G25-1),1,""))</f>
        <v/>
      </c>
      <c r="AG25" s="152" t="str">
        <f aca="false">IF(AND($C25="Goal",AG$7&gt;=$F25,AG$7&lt;=$F25+$G25-1),2,IF(AND($C25="Milestone",AG$7&gt;=$F25,AG$7&lt;=$F25+$G25-1),1,""))</f>
        <v/>
      </c>
      <c r="AH25" s="152" t="str">
        <f aca="false">IF(AND($C25="Goal",AH$7&gt;=$F25,AH$7&lt;=$F25+$G25-1),2,IF(AND($C25="Milestone",AH$7&gt;=$F25,AH$7&lt;=$F25+$G25-1),1,""))</f>
        <v/>
      </c>
      <c r="AI25" s="152" t="str">
        <f aca="false">IF(AND($C25="Goal",AI$7&gt;=$F25,AI$7&lt;=$F25+$G25-1),2,IF(AND($C25="Milestone",AI$7&gt;=$F25,AI$7&lt;=$F25+$G25-1),1,""))</f>
        <v/>
      </c>
      <c r="AJ25" s="152" t="str">
        <f aca="false">IF(AND($C25="Goal",AJ$7&gt;=$F25,AJ$7&lt;=$F25+$G25-1),2,IF(AND($C25="Milestone",AJ$7&gt;=$F25,AJ$7&lt;=$F25+$G25-1),1,""))</f>
        <v/>
      </c>
      <c r="AK25" s="152" t="str">
        <f aca="false">IF(AND($C25="Goal",AK$7&gt;=$F25,AK$7&lt;=$F25+$G25-1),2,IF(AND($C25="Milestone",AK$7&gt;=$F25,AK$7&lt;=$F25+$G25-1),1,""))</f>
        <v/>
      </c>
      <c r="AL25" s="152" t="str">
        <f aca="false">IF(AND($C25="Goal",AL$7&gt;=$F25,AL$7&lt;=$F25+$G25-1),2,IF(AND($C25="Milestone",AL$7&gt;=$F25,AL$7&lt;=$F25+$G25-1),1,""))</f>
        <v/>
      </c>
      <c r="AM25" s="152" t="str">
        <f aca="false">IF(AND($C25="Goal",AM$7&gt;=$F25,AM$7&lt;=$F25+$G25-1),2,IF(AND($C25="Milestone",AM$7&gt;=$F25,AM$7&lt;=$F25+$G25-1),1,""))</f>
        <v/>
      </c>
      <c r="AN25" s="152" t="str">
        <f aca="false">IF(AND($C25="Goal",AN$7&gt;=$F25,AN$7&lt;=$F25+$G25-1),2,IF(AND($C25="Milestone",AN$7&gt;=$F25,AN$7&lt;=$F25+$G25-1),1,""))</f>
        <v/>
      </c>
      <c r="AO25" s="152" t="str">
        <f aca="false">IF(AND($C25="Goal",AO$7&gt;=$F25,AO$7&lt;=$F25+$G25-1),2,IF(AND($C25="Milestone",AO$7&gt;=$F25,AO$7&lt;=$F25+$G25-1),1,""))</f>
        <v/>
      </c>
      <c r="AP25" s="152" t="str">
        <f aca="false">IF(AND($C25="Goal",AP$7&gt;=$F25,AP$7&lt;=$F25+$G25-1),2,IF(AND($C25="Milestone",AP$7&gt;=$F25,AP$7&lt;=$F25+$G25-1),1,""))</f>
        <v/>
      </c>
      <c r="AQ25" s="152" t="str">
        <f aca="false">IF(AND($C25="Goal",AQ$7&gt;=$F25,AQ$7&lt;=$F25+$G25-1),2,IF(AND($C25="Milestone",AQ$7&gt;=$F25,AQ$7&lt;=$F25+$G25-1),1,""))</f>
        <v/>
      </c>
      <c r="AR25" s="152" t="str">
        <f aca="false">IF(AND($C25="Goal",AR$7&gt;=$F25,AR$7&lt;=$F25+$G25-1),2,IF(AND($C25="Milestone",AR$7&gt;=$F25,AR$7&lt;=$F25+$G25-1),1,""))</f>
        <v/>
      </c>
      <c r="AS25" s="152" t="str">
        <f aca="false">IF(AND($C25="Goal",AS$7&gt;=$F25,AS$7&lt;=$F25+$G25-1),2,IF(AND($C25="Milestone",AS$7&gt;=$F25,AS$7&lt;=$F25+$G25-1),1,""))</f>
        <v/>
      </c>
      <c r="AT25" s="152" t="str">
        <f aca="false">IF(AND($C25="Goal",AT$7&gt;=$F25,AT$7&lt;=$F25+$G25-1),2,IF(AND($C25="Milestone",AT$7&gt;=$F25,AT$7&lt;=$F25+$G25-1),1,""))</f>
        <v/>
      </c>
      <c r="AU25" s="152" t="str">
        <f aca="false">IF(AND($C25="Goal",AU$7&gt;=$F25,AU$7&lt;=$F25+$G25-1),2,IF(AND($C25="Milestone",AU$7&gt;=$F25,AU$7&lt;=$F25+$G25-1),1,""))</f>
        <v/>
      </c>
      <c r="AV25" s="152" t="str">
        <f aca="false">IF(AND($C25="Goal",AV$7&gt;=$F25,AV$7&lt;=$F25+$G25-1),2,IF(AND($C25="Milestone",AV$7&gt;=$F25,AV$7&lt;=$F25+$G25-1),1,""))</f>
        <v/>
      </c>
      <c r="AW25" s="152" t="str">
        <f aca="false">IF(AND($C25="Goal",AW$7&gt;=$F25,AW$7&lt;=$F25+$G25-1),2,IF(AND($C25="Milestone",AW$7&gt;=$F25,AW$7&lt;=$F25+$G25-1),1,""))</f>
        <v/>
      </c>
      <c r="AX25" s="152" t="str">
        <f aca="false">IF(AND($C25="Goal",AX$7&gt;=$F25,AX$7&lt;=$F25+$G25-1),2,IF(AND($C25="Milestone",AX$7&gt;=$F25,AX$7&lt;=$F25+$G25-1),1,""))</f>
        <v/>
      </c>
      <c r="AY25" s="152" t="str">
        <f aca="false">IF(AND($C25="Goal",AY$7&gt;=$F25,AY$7&lt;=$F25+$G25-1),2,IF(AND($C25="Milestone",AY$7&gt;=$F25,AY$7&lt;=$F25+$G25-1),1,""))</f>
        <v/>
      </c>
      <c r="AZ25" s="152" t="str">
        <f aca="false">IF(AND($C25="Goal",AZ$7&gt;=$F25,AZ$7&lt;=$F25+$G25-1),2,IF(AND($C25="Milestone",AZ$7&gt;=$F25,AZ$7&lt;=$F25+$G25-1),1,""))</f>
        <v/>
      </c>
      <c r="BA25" s="152" t="str">
        <f aca="false">IF(AND($C25="Goal",BA$7&gt;=$F25,BA$7&lt;=$F25+$G25-1),2,IF(AND($C25="Milestone",BA$7&gt;=$F25,BA$7&lt;=$F25+$G25-1),1,""))</f>
        <v/>
      </c>
      <c r="BB25" s="152" t="str">
        <f aca="false">IF(AND($C25="Goal",BB$7&gt;=$F25,BB$7&lt;=$F25+$G25-1),2,IF(AND($C25="Milestone",BB$7&gt;=$F25,BB$7&lt;=$F25+$G25-1),1,""))</f>
        <v/>
      </c>
      <c r="BC25" s="152" t="str">
        <f aca="false">IF(AND($C25="Goal",BC$7&gt;=$F25,BC$7&lt;=$F25+$G25-1),2,IF(AND($C25="Milestone",BC$7&gt;=$F25,BC$7&lt;=$F25+$G25-1),1,""))</f>
        <v/>
      </c>
      <c r="BD25" s="152" t="str">
        <f aca="false">IF(AND($C25="Goal",BD$7&gt;=$F25,BD$7&lt;=$F25+$G25-1),2,IF(AND($C25="Milestone",BD$7&gt;=$F25,BD$7&lt;=$F25+$G25-1),1,""))</f>
        <v/>
      </c>
      <c r="BE25" s="152" t="str">
        <f aca="false">IF(AND($C25="Goal",BE$7&gt;=$F25,BE$7&lt;=$F25+$G25-1),2,IF(AND($C25="Milestone",BE$7&gt;=$F25,BE$7&lt;=$F25+$G25-1),1,""))</f>
        <v/>
      </c>
      <c r="BF25" s="152" t="str">
        <f aca="false">IF(AND($C25="Goal",BF$7&gt;=$F25,BF$7&lt;=$F25+$G25-1),2,IF(AND($C25="Milestone",BF$7&gt;=$F25,BF$7&lt;=$F25+$G25-1),1,""))</f>
        <v/>
      </c>
      <c r="BG25" s="152" t="str">
        <f aca="false">IF(AND($C25="Goal",BG$7&gt;=$F25,BG$7&lt;=$F25+$G25-1),2,IF(AND($C25="Milestone",BG$7&gt;=$F25,BG$7&lt;=$F25+$G25-1),1,""))</f>
        <v/>
      </c>
      <c r="BH25" s="152" t="str">
        <f aca="false">IF(AND($C25="Goal",BH$7&gt;=$F25,BH$7&lt;=$F25+$G25-1),2,IF(AND($C25="Milestone",BH$7&gt;=$F25,BH$7&lt;=$F25+$G25-1),1,""))</f>
        <v/>
      </c>
      <c r="BI25" s="152" t="str">
        <f aca="false">IF(AND($C25="Goal",BI$7&gt;=$F25,BI$7&lt;=$F25+$G25-1),2,IF(AND($C25="Milestone",BI$7&gt;=$F25,BI$7&lt;=$F25+$G25-1),1,""))</f>
        <v/>
      </c>
      <c r="BJ25" s="152" t="str">
        <f aca="false">IF(AND($C25="Goal",BJ$7&gt;=$F25,BJ$7&lt;=$F25+$G25-1),2,IF(AND($C25="Milestone",BJ$7&gt;=$F25,BJ$7&lt;=$F25+$G25-1),1,""))</f>
        <v/>
      </c>
      <c r="BK25" s="152" t="str">
        <f aca="false">IF(AND($C25="Goal",BK$7&gt;=$F25,BK$7&lt;=$F25+$G25-1),2,IF(AND($C25="Milestone",BK$7&gt;=$F25,BK$7&lt;=$F25+$G25-1),1,""))</f>
        <v/>
      </c>
      <c r="BL25" s="152" t="str">
        <f aca="false">IF(AND($C25="Goal",BL$7&gt;=$F25,BL$7&lt;=$F25+$G25-1),2,IF(AND($C25="Milestone",BL$7&gt;=$F25,BL$7&lt;=$F25+$G25-1),1,""))</f>
        <v/>
      </c>
      <c r="BM25" s="114"/>
    </row>
    <row r="26" s="25" customFormat="true" ht="39.75" hidden="false" customHeight="true" outlineLevel="0" collapsed="false">
      <c r="A26" s="13"/>
      <c r="B26" s="153" t="s">
        <v>86</v>
      </c>
      <c r="C26" s="146" t="s">
        <v>90</v>
      </c>
      <c r="D26" s="146"/>
      <c r="E26" s="147"/>
      <c r="F26" s="148" t="n">
        <f aca="false">F25+15</f>
        <v>45998</v>
      </c>
      <c r="G26" s="149" t="n">
        <v>6</v>
      </c>
      <c r="H26" s="150"/>
      <c r="I26" s="151" t="str">
        <f aca="false">IF(AND($C26="Goal",I$7&gt;=$F26,I$7&lt;=$F26+$G26-1),2,IF(AND($C26="Milestone",I$7&gt;=$F26,I$7&lt;=$F26+$G26-1),1,""))</f>
        <v/>
      </c>
      <c r="J26" s="152" t="str">
        <f aca="false">IF(AND($C26="Goal",J$7&gt;=$F26,J$7&lt;=$F26+$G26-1),2,IF(AND($C26="Milestone",J$7&gt;=$F26,J$7&lt;=$F26+$G26-1),1,""))</f>
        <v/>
      </c>
      <c r="K26" s="152" t="str">
        <f aca="false">IF(AND($C26="Goal",K$7&gt;=$F26,K$7&lt;=$F26+$G26-1),2,IF(AND($C26="Milestone",K$7&gt;=$F26,K$7&lt;=$F26+$G26-1),1,""))</f>
        <v/>
      </c>
      <c r="L26" s="152" t="str">
        <f aca="false">IF(AND($C26="Goal",L$7&gt;=$F26,L$7&lt;=$F26+$G26-1),2,IF(AND($C26="Milestone",L$7&gt;=$F26,L$7&lt;=$F26+$G26-1),1,""))</f>
        <v/>
      </c>
      <c r="M26" s="152" t="str">
        <f aca="false">IF(AND($C26="Goal",M$7&gt;=$F26,M$7&lt;=$F26+$G26-1),2,IF(AND($C26="Milestone",M$7&gt;=$F26,M$7&lt;=$F26+$G26-1),1,""))</f>
        <v/>
      </c>
      <c r="N26" s="152" t="str">
        <f aca="false">IF(AND($C26="Goal",N$7&gt;=$F26,N$7&lt;=$F26+$G26-1),2,IF(AND($C26="Milestone",N$7&gt;=$F26,N$7&lt;=$F26+$G26-1),1,""))</f>
        <v/>
      </c>
      <c r="O26" s="152" t="str">
        <f aca="false">IF(AND($C26="Goal",O$7&gt;=$F26,O$7&lt;=$F26+$G26-1),2,IF(AND($C26="Milestone",O$7&gt;=$F26,O$7&lt;=$F26+$G26-1),1,""))</f>
        <v/>
      </c>
      <c r="P26" s="152" t="str">
        <f aca="false">IF(AND($C26="Goal",P$7&gt;=$F26,P$7&lt;=$F26+$G26-1),2,IF(AND($C26="Milestone",P$7&gt;=$F26,P$7&lt;=$F26+$G26-1),1,""))</f>
        <v/>
      </c>
      <c r="Q26" s="152" t="str">
        <f aca="false">IF(AND($C26="Goal",Q$7&gt;=$F26,Q$7&lt;=$F26+$G26-1),2,IF(AND($C26="Milestone",Q$7&gt;=$F26,Q$7&lt;=$F26+$G26-1),1,""))</f>
        <v/>
      </c>
      <c r="R26" s="152" t="str">
        <f aca="false">IF(AND($C26="Goal",R$7&gt;=$F26,R$7&lt;=$F26+$G26-1),2,IF(AND($C26="Milestone",R$7&gt;=$F26,R$7&lt;=$F26+$G26-1),1,""))</f>
        <v/>
      </c>
      <c r="S26" s="152" t="str">
        <f aca="false">IF(AND($C26="Goal",S$7&gt;=$F26,S$7&lt;=$F26+$G26-1),2,IF(AND($C26="Milestone",S$7&gt;=$F26,S$7&lt;=$F26+$G26-1),1,""))</f>
        <v/>
      </c>
      <c r="T26" s="152" t="str">
        <f aca="false">IF(AND($C26="Goal",T$7&gt;=$F26,T$7&lt;=$F26+$G26-1),2,IF(AND($C26="Milestone",T$7&gt;=$F26,T$7&lt;=$F26+$G26-1),1,""))</f>
        <v/>
      </c>
      <c r="U26" s="152" t="str">
        <f aca="false">IF(AND($C26="Goal",U$7&gt;=$F26,U$7&lt;=$F26+$G26-1),2,IF(AND($C26="Milestone",U$7&gt;=$F26,U$7&lt;=$F26+$G26-1),1,""))</f>
        <v/>
      </c>
      <c r="V26" s="152" t="str">
        <f aca="false">IF(AND($C26="Goal",V$7&gt;=$F26,V$7&lt;=$F26+$G26-1),2,IF(AND($C26="Milestone",V$7&gt;=$F26,V$7&lt;=$F26+$G26-1),1,""))</f>
        <v/>
      </c>
      <c r="W26" s="152" t="str">
        <f aca="false">IF(AND($C26="Goal",W$7&gt;=$F26,W$7&lt;=$F26+$G26-1),2,IF(AND($C26="Milestone",W$7&gt;=$F26,W$7&lt;=$F26+$G26-1),1,""))</f>
        <v/>
      </c>
      <c r="X26" s="152" t="str">
        <f aca="false">IF(AND($C26="Goal",X$7&gt;=$F26,X$7&lt;=$F26+$G26-1),2,IF(AND($C26="Milestone",X$7&gt;=$F26,X$7&lt;=$F26+$G26-1),1,""))</f>
        <v/>
      </c>
      <c r="Y26" s="152" t="str">
        <f aca="false">IF(AND($C26="Goal",Y$7&gt;=$F26,Y$7&lt;=$F26+$G26-1),2,IF(AND($C26="Milestone",Y$7&gt;=$F26,Y$7&lt;=$F26+$G26-1),1,""))</f>
        <v/>
      </c>
      <c r="Z26" s="152" t="str">
        <f aca="false">IF(AND($C26="Goal",Z$7&gt;=$F26,Z$7&lt;=$F26+$G26-1),2,IF(AND($C26="Milestone",Z$7&gt;=$F26,Z$7&lt;=$F26+$G26-1),1,""))</f>
        <v/>
      </c>
      <c r="AA26" s="152" t="str">
        <f aca="false">IF(AND($C26="Goal",AA$7&gt;=$F26,AA$7&lt;=$F26+$G26-1),2,IF(AND($C26="Milestone",AA$7&gt;=$F26,AA$7&lt;=$F26+$G26-1),1,""))</f>
        <v/>
      </c>
      <c r="AB26" s="152" t="str">
        <f aca="false">IF(AND($C26="Goal",AB$7&gt;=$F26,AB$7&lt;=$F26+$G26-1),2,IF(AND($C26="Milestone",AB$7&gt;=$F26,AB$7&lt;=$F26+$G26-1),1,""))</f>
        <v/>
      </c>
      <c r="AC26" s="152" t="str">
        <f aca="false">IF(AND($C26="Goal",AC$7&gt;=$F26,AC$7&lt;=$F26+$G26-1),2,IF(AND($C26="Milestone",AC$7&gt;=$F26,AC$7&lt;=$F26+$G26-1),1,""))</f>
        <v/>
      </c>
      <c r="AD26" s="152" t="str">
        <f aca="false">IF(AND($C26="Goal",AD$7&gt;=$F26,AD$7&lt;=$F26+$G26-1),2,IF(AND($C26="Milestone",AD$7&gt;=$F26,AD$7&lt;=$F26+$G26-1),1,""))</f>
        <v/>
      </c>
      <c r="AE26" s="152" t="str">
        <f aca="false">IF(AND($C26="Goal",AE$7&gt;=$F26,AE$7&lt;=$F26+$G26-1),2,IF(AND($C26="Milestone",AE$7&gt;=$F26,AE$7&lt;=$F26+$G26-1),1,""))</f>
        <v/>
      </c>
      <c r="AF26" s="152" t="str">
        <f aca="false">IF(AND($C26="Goal",AF$7&gt;=$F26,AF$7&lt;=$F26+$G26-1),2,IF(AND($C26="Milestone",AF$7&gt;=$F26,AF$7&lt;=$F26+$G26-1),1,""))</f>
        <v/>
      </c>
      <c r="AG26" s="152" t="str">
        <f aca="false">IF(AND($C26="Goal",AG$7&gt;=$F26,AG$7&lt;=$F26+$G26-1),2,IF(AND($C26="Milestone",AG$7&gt;=$F26,AG$7&lt;=$F26+$G26-1),1,""))</f>
        <v/>
      </c>
      <c r="AH26" s="152" t="str">
        <f aca="false">IF(AND($C26="Goal",AH$7&gt;=$F26,AH$7&lt;=$F26+$G26-1),2,IF(AND($C26="Milestone",AH$7&gt;=$F26,AH$7&lt;=$F26+$G26-1),1,""))</f>
        <v/>
      </c>
      <c r="AI26" s="152" t="str">
        <f aca="false">IF(AND($C26="Goal",AI$7&gt;=$F26,AI$7&lt;=$F26+$G26-1),2,IF(AND($C26="Milestone",AI$7&gt;=$F26,AI$7&lt;=$F26+$G26-1),1,""))</f>
        <v/>
      </c>
      <c r="AJ26" s="152" t="str">
        <f aca="false">IF(AND($C26="Goal",AJ$7&gt;=$F26,AJ$7&lt;=$F26+$G26-1),2,IF(AND($C26="Milestone",AJ$7&gt;=$F26,AJ$7&lt;=$F26+$G26-1),1,""))</f>
        <v/>
      </c>
      <c r="AK26" s="152" t="str">
        <f aca="false">IF(AND($C26="Goal",AK$7&gt;=$F26,AK$7&lt;=$F26+$G26-1),2,IF(AND($C26="Milestone",AK$7&gt;=$F26,AK$7&lt;=$F26+$G26-1),1,""))</f>
        <v/>
      </c>
      <c r="AL26" s="152" t="str">
        <f aca="false">IF(AND($C26="Goal",AL$7&gt;=$F26,AL$7&lt;=$F26+$G26-1),2,IF(AND($C26="Milestone",AL$7&gt;=$F26,AL$7&lt;=$F26+$G26-1),1,""))</f>
        <v/>
      </c>
      <c r="AM26" s="152" t="str">
        <f aca="false">IF(AND($C26="Goal",AM$7&gt;=$F26,AM$7&lt;=$F26+$G26-1),2,IF(AND($C26="Milestone",AM$7&gt;=$F26,AM$7&lt;=$F26+$G26-1),1,""))</f>
        <v/>
      </c>
      <c r="AN26" s="152" t="str">
        <f aca="false">IF(AND($C26="Goal",AN$7&gt;=$F26,AN$7&lt;=$F26+$G26-1),2,IF(AND($C26="Milestone",AN$7&gt;=$F26,AN$7&lt;=$F26+$G26-1),1,""))</f>
        <v/>
      </c>
      <c r="AO26" s="152" t="str">
        <f aca="false">IF(AND($C26="Goal",AO$7&gt;=$F26,AO$7&lt;=$F26+$G26-1),2,IF(AND($C26="Milestone",AO$7&gt;=$F26,AO$7&lt;=$F26+$G26-1),1,""))</f>
        <v/>
      </c>
      <c r="AP26" s="152" t="str">
        <f aca="false">IF(AND($C26="Goal",AP$7&gt;=$F26,AP$7&lt;=$F26+$G26-1),2,IF(AND($C26="Milestone",AP$7&gt;=$F26,AP$7&lt;=$F26+$G26-1),1,""))</f>
        <v/>
      </c>
      <c r="AQ26" s="152" t="str">
        <f aca="false">IF(AND($C26="Goal",AQ$7&gt;=$F26,AQ$7&lt;=$F26+$G26-1),2,IF(AND($C26="Milestone",AQ$7&gt;=$F26,AQ$7&lt;=$F26+$G26-1),1,""))</f>
        <v/>
      </c>
      <c r="AR26" s="152" t="str">
        <f aca="false">IF(AND($C26="Goal",AR$7&gt;=$F26,AR$7&lt;=$F26+$G26-1),2,IF(AND($C26="Milestone",AR$7&gt;=$F26,AR$7&lt;=$F26+$G26-1),1,""))</f>
        <v/>
      </c>
      <c r="AS26" s="152" t="str">
        <f aca="false">IF(AND($C26="Goal",AS$7&gt;=$F26,AS$7&lt;=$F26+$G26-1),2,IF(AND($C26="Milestone",AS$7&gt;=$F26,AS$7&lt;=$F26+$G26-1),1,""))</f>
        <v/>
      </c>
      <c r="AT26" s="152" t="str">
        <f aca="false">IF(AND($C26="Goal",AT$7&gt;=$F26,AT$7&lt;=$F26+$G26-1),2,IF(AND($C26="Milestone",AT$7&gt;=$F26,AT$7&lt;=$F26+$G26-1),1,""))</f>
        <v/>
      </c>
      <c r="AU26" s="152" t="str">
        <f aca="false">IF(AND($C26="Goal",AU$7&gt;=$F26,AU$7&lt;=$F26+$G26-1),2,IF(AND($C26="Milestone",AU$7&gt;=$F26,AU$7&lt;=$F26+$G26-1),1,""))</f>
        <v/>
      </c>
      <c r="AV26" s="152" t="str">
        <f aca="false">IF(AND($C26="Goal",AV$7&gt;=$F26,AV$7&lt;=$F26+$G26-1),2,IF(AND($C26="Milestone",AV$7&gt;=$F26,AV$7&lt;=$F26+$G26-1),1,""))</f>
        <v/>
      </c>
      <c r="AW26" s="152" t="str">
        <f aca="false">IF(AND($C26="Goal",AW$7&gt;=$F26,AW$7&lt;=$F26+$G26-1),2,IF(AND($C26="Milestone",AW$7&gt;=$F26,AW$7&lt;=$F26+$G26-1),1,""))</f>
        <v/>
      </c>
      <c r="AX26" s="152" t="str">
        <f aca="false">IF(AND($C26="Goal",AX$7&gt;=$F26,AX$7&lt;=$F26+$G26-1),2,IF(AND($C26="Milestone",AX$7&gt;=$F26,AX$7&lt;=$F26+$G26-1),1,""))</f>
        <v/>
      </c>
      <c r="AY26" s="152" t="str">
        <f aca="false">IF(AND($C26="Goal",AY$7&gt;=$F26,AY$7&lt;=$F26+$G26-1),2,IF(AND($C26="Milestone",AY$7&gt;=$F26,AY$7&lt;=$F26+$G26-1),1,""))</f>
        <v/>
      </c>
      <c r="AZ26" s="152" t="str">
        <f aca="false">IF(AND($C26="Goal",AZ$7&gt;=$F26,AZ$7&lt;=$F26+$G26-1),2,IF(AND($C26="Milestone",AZ$7&gt;=$F26,AZ$7&lt;=$F26+$G26-1),1,""))</f>
        <v/>
      </c>
      <c r="BA26" s="152" t="str">
        <f aca="false">IF(AND($C26="Goal",BA$7&gt;=$F26,BA$7&lt;=$F26+$G26-1),2,IF(AND($C26="Milestone",BA$7&gt;=$F26,BA$7&lt;=$F26+$G26-1),1,""))</f>
        <v/>
      </c>
      <c r="BB26" s="152" t="str">
        <f aca="false">IF(AND($C26="Goal",BB$7&gt;=$F26,BB$7&lt;=$F26+$G26-1),2,IF(AND($C26="Milestone",BB$7&gt;=$F26,BB$7&lt;=$F26+$G26-1),1,""))</f>
        <v/>
      </c>
      <c r="BC26" s="152" t="str">
        <f aca="false">IF(AND($C26="Goal",BC$7&gt;=$F26,BC$7&lt;=$F26+$G26-1),2,IF(AND($C26="Milestone",BC$7&gt;=$F26,BC$7&lt;=$F26+$G26-1),1,""))</f>
        <v/>
      </c>
      <c r="BD26" s="152" t="str">
        <f aca="false">IF(AND($C26="Goal",BD$7&gt;=$F26,BD$7&lt;=$F26+$G26-1),2,IF(AND($C26="Milestone",BD$7&gt;=$F26,BD$7&lt;=$F26+$G26-1),1,""))</f>
        <v/>
      </c>
      <c r="BE26" s="152" t="str">
        <f aca="false">IF(AND($C26="Goal",BE$7&gt;=$F26,BE$7&lt;=$F26+$G26-1),2,IF(AND($C26="Milestone",BE$7&gt;=$F26,BE$7&lt;=$F26+$G26-1),1,""))</f>
        <v/>
      </c>
      <c r="BF26" s="152" t="str">
        <f aca="false">IF(AND($C26="Goal",BF$7&gt;=$F26,BF$7&lt;=$F26+$G26-1),2,IF(AND($C26="Milestone",BF$7&gt;=$F26,BF$7&lt;=$F26+$G26-1),1,""))</f>
        <v/>
      </c>
      <c r="BG26" s="152" t="str">
        <f aca="false">IF(AND($C26="Goal",BG$7&gt;=$F26,BG$7&lt;=$F26+$G26-1),2,IF(AND($C26="Milestone",BG$7&gt;=$F26,BG$7&lt;=$F26+$G26-1),1,""))</f>
        <v/>
      </c>
      <c r="BH26" s="152" t="str">
        <f aca="false">IF(AND($C26="Goal",BH$7&gt;=$F26,BH$7&lt;=$F26+$G26-1),2,IF(AND($C26="Milestone",BH$7&gt;=$F26,BH$7&lt;=$F26+$G26-1),1,""))</f>
        <v/>
      </c>
      <c r="BI26" s="152" t="str">
        <f aca="false">IF(AND($C26="Goal",BI$7&gt;=$F26,BI$7&lt;=$F26+$G26-1),2,IF(AND($C26="Milestone",BI$7&gt;=$F26,BI$7&lt;=$F26+$G26-1),1,""))</f>
        <v/>
      </c>
      <c r="BJ26" s="152" t="str">
        <f aca="false">IF(AND($C26="Goal",BJ$7&gt;=$F26,BJ$7&lt;=$F26+$G26-1),2,IF(AND($C26="Milestone",BJ$7&gt;=$F26,BJ$7&lt;=$F26+$G26-1),1,""))</f>
        <v/>
      </c>
      <c r="BK26" s="152" t="str">
        <f aca="false">IF(AND($C26="Goal",BK$7&gt;=$F26,BK$7&lt;=$F26+$G26-1),2,IF(AND($C26="Milestone",BK$7&gt;=$F26,BK$7&lt;=$F26+$G26-1),1,""))</f>
        <v/>
      </c>
      <c r="BL26" s="152" t="str">
        <f aca="false">IF(AND($C26="Goal",BL$7&gt;=$F26,BL$7&lt;=$F26+$G26-1),2,IF(AND($C26="Milestone",BL$7&gt;=$F26,BL$7&lt;=$F26+$G26-1),1,""))</f>
        <v/>
      </c>
      <c r="BM26" s="114"/>
    </row>
    <row r="27" s="25" customFormat="true" ht="39.75" hidden="false" customHeight="true" outlineLevel="0" collapsed="false">
      <c r="A27" s="13"/>
      <c r="B27" s="153" t="s">
        <v>87</v>
      </c>
      <c r="C27" s="146" t="s">
        <v>82</v>
      </c>
      <c r="D27" s="146"/>
      <c r="E27" s="147"/>
      <c r="F27" s="148" t="n">
        <f aca="false">F21+22</f>
        <v>46002</v>
      </c>
      <c r="G27" s="149" t="n">
        <v>3</v>
      </c>
      <c r="H27" s="150"/>
      <c r="I27" s="151" t="str">
        <f aca="false">IF(AND($C27="Goal",I$7&gt;=$F27,I$7&lt;=$F27+$G27-1),2,IF(AND($C27="Milestone",I$7&gt;=$F27,I$7&lt;=$F27+$G27-1),1,""))</f>
        <v/>
      </c>
      <c r="J27" s="152" t="str">
        <f aca="false">IF(AND($C27="Goal",J$7&gt;=$F27,J$7&lt;=$F27+$G27-1),2,IF(AND($C27="Milestone",J$7&gt;=$F27,J$7&lt;=$F27+$G27-1),1,""))</f>
        <v/>
      </c>
      <c r="K27" s="152" t="str">
        <f aca="false">IF(AND($C27="Goal",K$7&gt;=$F27,K$7&lt;=$F27+$G27-1),2,IF(AND($C27="Milestone",K$7&gt;=$F27,K$7&lt;=$F27+$G27-1),1,""))</f>
        <v/>
      </c>
      <c r="L27" s="152" t="str">
        <f aca="false">IF(AND($C27="Goal",L$7&gt;=$F27,L$7&lt;=$F27+$G27-1),2,IF(AND($C27="Milestone",L$7&gt;=$F27,L$7&lt;=$F27+$G27-1),1,""))</f>
        <v/>
      </c>
      <c r="M27" s="152" t="str">
        <f aca="false">IF(AND($C27="Goal",M$7&gt;=$F27,M$7&lt;=$F27+$G27-1),2,IF(AND($C27="Milestone",M$7&gt;=$F27,M$7&lt;=$F27+$G27-1),1,""))</f>
        <v/>
      </c>
      <c r="N27" s="152" t="str">
        <f aca="false">IF(AND($C27="Goal",N$7&gt;=$F27,N$7&lt;=$F27+$G27-1),2,IF(AND($C27="Milestone",N$7&gt;=$F27,N$7&lt;=$F27+$G27-1),1,""))</f>
        <v/>
      </c>
      <c r="O27" s="152" t="str">
        <f aca="false">IF(AND($C27="Goal",O$7&gt;=$F27,O$7&lt;=$F27+$G27-1),2,IF(AND($C27="Milestone",O$7&gt;=$F27,O$7&lt;=$F27+$G27-1),1,""))</f>
        <v/>
      </c>
      <c r="P27" s="152" t="str">
        <f aca="false">IF(AND($C27="Goal",P$7&gt;=$F27,P$7&lt;=$F27+$G27-1),2,IF(AND($C27="Milestone",P$7&gt;=$F27,P$7&lt;=$F27+$G27-1),1,""))</f>
        <v/>
      </c>
      <c r="Q27" s="152" t="str">
        <f aca="false">IF(AND($C27="Goal",Q$7&gt;=$F27,Q$7&lt;=$F27+$G27-1),2,IF(AND($C27="Milestone",Q$7&gt;=$F27,Q$7&lt;=$F27+$G27-1),1,""))</f>
        <v/>
      </c>
      <c r="R27" s="152" t="str">
        <f aca="false">IF(AND($C27="Goal",R$7&gt;=$F27,R$7&lt;=$F27+$G27-1),2,IF(AND($C27="Milestone",R$7&gt;=$F27,R$7&lt;=$F27+$G27-1),1,""))</f>
        <v/>
      </c>
      <c r="S27" s="152" t="str">
        <f aca="false">IF(AND($C27="Goal",S$7&gt;=$F27,S$7&lt;=$F27+$G27-1),2,IF(AND($C27="Milestone",S$7&gt;=$F27,S$7&lt;=$F27+$G27-1),1,""))</f>
        <v/>
      </c>
      <c r="T27" s="152" t="str">
        <f aca="false">IF(AND($C27="Goal",T$7&gt;=$F27,T$7&lt;=$F27+$G27-1),2,IF(AND($C27="Milestone",T$7&gt;=$F27,T$7&lt;=$F27+$G27-1),1,""))</f>
        <v/>
      </c>
      <c r="U27" s="152" t="str">
        <f aca="false">IF(AND($C27="Goal",U$7&gt;=$F27,U$7&lt;=$F27+$G27-1),2,IF(AND($C27="Milestone",U$7&gt;=$F27,U$7&lt;=$F27+$G27-1),1,""))</f>
        <v/>
      </c>
      <c r="V27" s="152" t="str">
        <f aca="false">IF(AND($C27="Goal",V$7&gt;=$F27,V$7&lt;=$F27+$G27-1),2,IF(AND($C27="Milestone",V$7&gt;=$F27,V$7&lt;=$F27+$G27-1),1,""))</f>
        <v/>
      </c>
      <c r="W27" s="152" t="str">
        <f aca="false">IF(AND($C27="Goal",W$7&gt;=$F27,W$7&lt;=$F27+$G27-1),2,IF(AND($C27="Milestone",W$7&gt;=$F27,W$7&lt;=$F27+$G27-1),1,""))</f>
        <v/>
      </c>
      <c r="X27" s="152" t="str">
        <f aca="false">IF(AND($C27="Goal",X$7&gt;=$F27,X$7&lt;=$F27+$G27-1),2,IF(AND($C27="Milestone",X$7&gt;=$F27,X$7&lt;=$F27+$G27-1),1,""))</f>
        <v/>
      </c>
      <c r="Y27" s="152" t="str">
        <f aca="false">IF(AND($C27="Goal",Y$7&gt;=$F27,Y$7&lt;=$F27+$G27-1),2,IF(AND($C27="Milestone",Y$7&gt;=$F27,Y$7&lt;=$F27+$G27-1),1,""))</f>
        <v/>
      </c>
      <c r="Z27" s="152" t="str">
        <f aca="false">IF(AND($C27="Goal",Z$7&gt;=$F27,Z$7&lt;=$F27+$G27-1),2,IF(AND($C27="Milestone",Z$7&gt;=$F27,Z$7&lt;=$F27+$G27-1),1,""))</f>
        <v/>
      </c>
      <c r="AA27" s="152" t="str">
        <f aca="false">IF(AND($C27="Goal",AA$7&gt;=$F27,AA$7&lt;=$F27+$G27-1),2,IF(AND($C27="Milestone",AA$7&gt;=$F27,AA$7&lt;=$F27+$G27-1),1,""))</f>
        <v/>
      </c>
      <c r="AB27" s="152" t="str">
        <f aca="false">IF(AND($C27="Goal",AB$7&gt;=$F27,AB$7&lt;=$F27+$G27-1),2,IF(AND($C27="Milestone",AB$7&gt;=$F27,AB$7&lt;=$F27+$G27-1),1,""))</f>
        <v/>
      </c>
      <c r="AC27" s="152" t="str">
        <f aca="false">IF(AND($C27="Goal",AC$7&gt;=$F27,AC$7&lt;=$F27+$G27-1),2,IF(AND($C27="Milestone",AC$7&gt;=$F27,AC$7&lt;=$F27+$G27-1),1,""))</f>
        <v/>
      </c>
      <c r="AD27" s="152" t="str">
        <f aca="false">IF(AND($C27="Goal",AD$7&gt;=$F27,AD$7&lt;=$F27+$G27-1),2,IF(AND($C27="Milestone",AD$7&gt;=$F27,AD$7&lt;=$F27+$G27-1),1,""))</f>
        <v/>
      </c>
      <c r="AE27" s="152" t="str">
        <f aca="false">IF(AND($C27="Goal",AE$7&gt;=$F27,AE$7&lt;=$F27+$G27-1),2,IF(AND($C27="Milestone",AE$7&gt;=$F27,AE$7&lt;=$F27+$G27-1),1,""))</f>
        <v/>
      </c>
      <c r="AF27" s="152" t="str">
        <f aca="false">IF(AND($C27="Goal",AF$7&gt;=$F27,AF$7&lt;=$F27+$G27-1),2,IF(AND($C27="Milestone",AF$7&gt;=$F27,AF$7&lt;=$F27+$G27-1),1,""))</f>
        <v/>
      </c>
      <c r="AG27" s="152" t="str">
        <f aca="false">IF(AND($C27="Goal",AG$7&gt;=$F27,AG$7&lt;=$F27+$G27-1),2,IF(AND($C27="Milestone",AG$7&gt;=$F27,AG$7&lt;=$F27+$G27-1),1,""))</f>
        <v/>
      </c>
      <c r="AH27" s="152" t="str">
        <f aca="false">IF(AND($C27="Goal",AH$7&gt;=$F27,AH$7&lt;=$F27+$G27-1),2,IF(AND($C27="Milestone",AH$7&gt;=$F27,AH$7&lt;=$F27+$G27-1),1,""))</f>
        <v/>
      </c>
      <c r="AI27" s="152" t="str">
        <f aca="false">IF(AND($C27="Goal",AI$7&gt;=$F27,AI$7&lt;=$F27+$G27-1),2,IF(AND($C27="Milestone",AI$7&gt;=$F27,AI$7&lt;=$F27+$G27-1),1,""))</f>
        <v/>
      </c>
      <c r="AJ27" s="152" t="str">
        <f aca="false">IF(AND($C27="Goal",AJ$7&gt;=$F27,AJ$7&lt;=$F27+$G27-1),2,IF(AND($C27="Milestone",AJ$7&gt;=$F27,AJ$7&lt;=$F27+$G27-1),1,""))</f>
        <v/>
      </c>
      <c r="AK27" s="152" t="str">
        <f aca="false">IF(AND($C27="Goal",AK$7&gt;=$F27,AK$7&lt;=$F27+$G27-1),2,IF(AND($C27="Milestone",AK$7&gt;=$F27,AK$7&lt;=$F27+$G27-1),1,""))</f>
        <v/>
      </c>
      <c r="AL27" s="152" t="str">
        <f aca="false">IF(AND($C27="Goal",AL$7&gt;=$F27,AL$7&lt;=$F27+$G27-1),2,IF(AND($C27="Milestone",AL$7&gt;=$F27,AL$7&lt;=$F27+$G27-1),1,""))</f>
        <v/>
      </c>
      <c r="AM27" s="152" t="str">
        <f aca="false">IF(AND($C27="Goal",AM$7&gt;=$F27,AM$7&lt;=$F27+$G27-1),2,IF(AND($C27="Milestone",AM$7&gt;=$F27,AM$7&lt;=$F27+$G27-1),1,""))</f>
        <v/>
      </c>
      <c r="AN27" s="152" t="str">
        <f aca="false">IF(AND($C27="Goal",AN$7&gt;=$F27,AN$7&lt;=$F27+$G27-1),2,IF(AND($C27="Milestone",AN$7&gt;=$F27,AN$7&lt;=$F27+$G27-1),1,""))</f>
        <v/>
      </c>
      <c r="AO27" s="152" t="str">
        <f aca="false">IF(AND($C27="Goal",AO$7&gt;=$F27,AO$7&lt;=$F27+$G27-1),2,IF(AND($C27="Milestone",AO$7&gt;=$F27,AO$7&lt;=$F27+$G27-1),1,""))</f>
        <v/>
      </c>
      <c r="AP27" s="152" t="str">
        <f aca="false">IF(AND($C27="Goal",AP$7&gt;=$F27,AP$7&lt;=$F27+$G27-1),2,IF(AND($C27="Milestone",AP$7&gt;=$F27,AP$7&lt;=$F27+$G27-1),1,""))</f>
        <v/>
      </c>
      <c r="AQ27" s="152" t="str">
        <f aca="false">IF(AND($C27="Goal",AQ$7&gt;=$F27,AQ$7&lt;=$F27+$G27-1),2,IF(AND($C27="Milestone",AQ$7&gt;=$F27,AQ$7&lt;=$F27+$G27-1),1,""))</f>
        <v/>
      </c>
      <c r="AR27" s="152" t="str">
        <f aca="false">IF(AND($C27="Goal",AR$7&gt;=$F27,AR$7&lt;=$F27+$G27-1),2,IF(AND($C27="Milestone",AR$7&gt;=$F27,AR$7&lt;=$F27+$G27-1),1,""))</f>
        <v/>
      </c>
      <c r="AS27" s="152" t="str">
        <f aca="false">IF(AND($C27="Goal",AS$7&gt;=$F27,AS$7&lt;=$F27+$G27-1),2,IF(AND($C27="Milestone",AS$7&gt;=$F27,AS$7&lt;=$F27+$G27-1),1,""))</f>
        <v/>
      </c>
      <c r="AT27" s="152" t="n">
        <f aca="false">IF(AND($C27="Goal",AT$7&gt;=$F27,AT$7&lt;=$F27+$G27-1),2,IF(AND($C27="Milestone",AT$7&gt;=$F27,AT$7&lt;=$F27+$G27-1),1,""))</f>
        <v>2</v>
      </c>
      <c r="AU27" s="152" t="n">
        <f aca="false">IF(AND($C27="Goal",AU$7&gt;=$F27,AU$7&lt;=$F27+$G27-1),2,IF(AND($C27="Milestone",AU$7&gt;=$F27,AU$7&lt;=$F27+$G27-1),1,""))</f>
        <v>2</v>
      </c>
      <c r="AV27" s="152" t="n">
        <f aca="false">IF(AND($C27="Goal",AV$7&gt;=$F27,AV$7&lt;=$F27+$G27-1),2,IF(AND($C27="Milestone",AV$7&gt;=$F27,AV$7&lt;=$F27+$G27-1),1,""))</f>
        <v>2</v>
      </c>
      <c r="AW27" s="152" t="str">
        <f aca="false">IF(AND($C27="Goal",AW$7&gt;=$F27,AW$7&lt;=$F27+$G27-1),2,IF(AND($C27="Milestone",AW$7&gt;=$F27,AW$7&lt;=$F27+$G27-1),1,""))</f>
        <v/>
      </c>
      <c r="AX27" s="152" t="str">
        <f aca="false">IF(AND($C27="Goal",AX$7&gt;=$F27,AX$7&lt;=$F27+$G27-1),2,IF(AND($C27="Milestone",AX$7&gt;=$F27,AX$7&lt;=$F27+$G27-1),1,""))</f>
        <v/>
      </c>
      <c r="AY27" s="152" t="str">
        <f aca="false">IF(AND($C27="Goal",AY$7&gt;=$F27,AY$7&lt;=$F27+$G27-1),2,IF(AND($C27="Milestone",AY$7&gt;=$F27,AY$7&lt;=$F27+$G27-1),1,""))</f>
        <v/>
      </c>
      <c r="AZ27" s="152" t="str">
        <f aca="false">IF(AND($C27="Goal",AZ$7&gt;=$F27,AZ$7&lt;=$F27+$G27-1),2,IF(AND($C27="Milestone",AZ$7&gt;=$F27,AZ$7&lt;=$F27+$G27-1),1,""))</f>
        <v/>
      </c>
      <c r="BA27" s="152" t="str">
        <f aca="false">IF(AND($C27="Goal",BA$7&gt;=$F27,BA$7&lt;=$F27+$G27-1),2,IF(AND($C27="Milestone",BA$7&gt;=$F27,BA$7&lt;=$F27+$G27-1),1,""))</f>
        <v/>
      </c>
      <c r="BB27" s="152" t="str">
        <f aca="false">IF(AND($C27="Goal",BB$7&gt;=$F27,BB$7&lt;=$F27+$G27-1),2,IF(AND($C27="Milestone",BB$7&gt;=$F27,BB$7&lt;=$F27+$G27-1),1,""))</f>
        <v/>
      </c>
      <c r="BC27" s="152" t="str">
        <f aca="false">IF(AND($C27="Goal",BC$7&gt;=$F27,BC$7&lt;=$F27+$G27-1),2,IF(AND($C27="Milestone",BC$7&gt;=$F27,BC$7&lt;=$F27+$G27-1),1,""))</f>
        <v/>
      </c>
      <c r="BD27" s="152" t="str">
        <f aca="false">IF(AND($C27="Goal",BD$7&gt;=$F27,BD$7&lt;=$F27+$G27-1),2,IF(AND($C27="Milestone",BD$7&gt;=$F27,BD$7&lt;=$F27+$G27-1),1,""))</f>
        <v/>
      </c>
      <c r="BE27" s="152" t="str">
        <f aca="false">IF(AND($C27="Goal",BE$7&gt;=$F27,BE$7&lt;=$F27+$G27-1),2,IF(AND($C27="Milestone",BE$7&gt;=$F27,BE$7&lt;=$F27+$G27-1),1,""))</f>
        <v/>
      </c>
      <c r="BF27" s="152" t="str">
        <f aca="false">IF(AND($C27="Goal",BF$7&gt;=$F27,BF$7&lt;=$F27+$G27-1),2,IF(AND($C27="Milestone",BF$7&gt;=$F27,BF$7&lt;=$F27+$G27-1),1,""))</f>
        <v/>
      </c>
      <c r="BG27" s="152" t="str">
        <f aca="false">IF(AND($C27="Goal",BG$7&gt;=$F27,BG$7&lt;=$F27+$G27-1),2,IF(AND($C27="Milestone",BG$7&gt;=$F27,BG$7&lt;=$F27+$G27-1),1,""))</f>
        <v/>
      </c>
      <c r="BH27" s="152" t="str">
        <f aca="false">IF(AND($C27="Goal",BH$7&gt;=$F27,BH$7&lt;=$F27+$G27-1),2,IF(AND($C27="Milestone",BH$7&gt;=$F27,BH$7&lt;=$F27+$G27-1),1,""))</f>
        <v/>
      </c>
      <c r="BI27" s="152" t="str">
        <f aca="false">IF(AND($C27="Goal",BI$7&gt;=$F27,BI$7&lt;=$F27+$G27-1),2,IF(AND($C27="Milestone",BI$7&gt;=$F27,BI$7&lt;=$F27+$G27-1),1,""))</f>
        <v/>
      </c>
      <c r="BJ27" s="152" t="str">
        <f aca="false">IF(AND($C27="Goal",BJ$7&gt;=$F27,BJ$7&lt;=$F27+$G27-1),2,IF(AND($C27="Milestone",BJ$7&gt;=$F27,BJ$7&lt;=$F27+$G27-1),1,""))</f>
        <v/>
      </c>
      <c r="BK27" s="152" t="str">
        <f aca="false">IF(AND($C27="Goal",BK$7&gt;=$F27,BK$7&lt;=$F27+$G27-1),2,IF(AND($C27="Milestone",BK$7&gt;=$F27,BK$7&lt;=$F27+$G27-1),1,""))</f>
        <v/>
      </c>
      <c r="BL27" s="152" t="str">
        <f aca="false">IF(AND($C27="Goal",BL$7&gt;=$F27,BL$7&lt;=$F27+$G27-1),2,IF(AND($C27="Milestone",BL$7&gt;=$F27,BL$7&lt;=$F27+$G27-1),1,""))</f>
        <v/>
      </c>
      <c r="BM27" s="114"/>
    </row>
    <row r="28" s="25" customFormat="true" ht="39.75" hidden="false" customHeight="true" outlineLevel="0" collapsed="false">
      <c r="A28" s="13"/>
      <c r="B28" s="153" t="s">
        <v>88</v>
      </c>
      <c r="C28" s="146" t="s">
        <v>23</v>
      </c>
      <c r="D28" s="146"/>
      <c r="E28" s="147"/>
      <c r="F28" s="148" t="n">
        <f aca="false">F16</f>
        <v>45971</v>
      </c>
      <c r="G28" s="149" t="n">
        <v>19</v>
      </c>
      <c r="H28" s="150"/>
      <c r="I28" s="151" t="str">
        <f aca="false">IF(AND($C28="Goal",I$7&gt;=$F28,I$7&lt;=$F28+$G28-1),2,IF(AND($C28="Milestone",I$7&gt;=$F28,I$7&lt;=$F28+$G28-1),1,""))</f>
        <v/>
      </c>
      <c r="J28" s="152" t="str">
        <f aca="false">IF(AND($C28="Goal",J$7&gt;=$F28,J$7&lt;=$F28+$G28-1),2,IF(AND($C28="Milestone",J$7&gt;=$F28,J$7&lt;=$F28+$G28-1),1,""))</f>
        <v/>
      </c>
      <c r="K28" s="152" t="str">
        <f aca="false">IF(AND($C28="Goal",K$7&gt;=$F28,K$7&lt;=$F28+$G28-1),2,IF(AND($C28="Milestone",K$7&gt;=$F28,K$7&lt;=$F28+$G28-1),1,""))</f>
        <v/>
      </c>
      <c r="L28" s="152" t="str">
        <f aca="false">IF(AND($C28="Goal",L$7&gt;=$F28,L$7&lt;=$F28+$G28-1),2,IF(AND($C28="Milestone",L$7&gt;=$F28,L$7&lt;=$F28+$G28-1),1,""))</f>
        <v/>
      </c>
      <c r="M28" s="152" t="str">
        <f aca="false">IF(AND($C28="Goal",M$7&gt;=$F28,M$7&lt;=$F28+$G28-1),2,IF(AND($C28="Milestone",M$7&gt;=$F28,M$7&lt;=$F28+$G28-1),1,""))</f>
        <v/>
      </c>
      <c r="N28" s="152" t="str">
        <f aca="false">IF(AND($C28="Goal",N$7&gt;=$F28,N$7&lt;=$F28+$G28-1),2,IF(AND($C28="Milestone",N$7&gt;=$F28,N$7&lt;=$F28+$G28-1),1,""))</f>
        <v/>
      </c>
      <c r="O28" s="152" t="str">
        <f aca="false">IF(AND($C28="Goal",O$7&gt;=$F28,O$7&lt;=$F28+$G28-1),2,IF(AND($C28="Milestone",O$7&gt;=$F28,O$7&lt;=$F28+$G28-1),1,""))</f>
        <v/>
      </c>
      <c r="P28" s="152" t="str">
        <f aca="false">IF(AND($C28="Goal",P$7&gt;=$F28,P$7&lt;=$F28+$G28-1),2,IF(AND($C28="Milestone",P$7&gt;=$F28,P$7&lt;=$F28+$G28-1),1,""))</f>
        <v/>
      </c>
      <c r="Q28" s="152" t="str">
        <f aca="false">IF(AND($C28="Goal",Q$7&gt;=$F28,Q$7&lt;=$F28+$G28-1),2,IF(AND($C28="Milestone",Q$7&gt;=$F28,Q$7&lt;=$F28+$G28-1),1,""))</f>
        <v/>
      </c>
      <c r="R28" s="152" t="str">
        <f aca="false">IF(AND($C28="Goal",R$7&gt;=$F28,R$7&lt;=$F28+$G28-1),2,IF(AND($C28="Milestone",R$7&gt;=$F28,R$7&lt;=$F28+$G28-1),1,""))</f>
        <v/>
      </c>
      <c r="S28" s="152" t="str">
        <f aca="false">IF(AND($C28="Goal",S$7&gt;=$F28,S$7&lt;=$F28+$G28-1),2,IF(AND($C28="Milestone",S$7&gt;=$F28,S$7&lt;=$F28+$G28-1),1,""))</f>
        <v/>
      </c>
      <c r="T28" s="152" t="str">
        <f aca="false">IF(AND($C28="Goal",T$7&gt;=$F28,T$7&lt;=$F28+$G28-1),2,IF(AND($C28="Milestone",T$7&gt;=$F28,T$7&lt;=$F28+$G28-1),1,""))</f>
        <v/>
      </c>
      <c r="U28" s="152" t="str">
        <f aca="false">IF(AND($C28="Goal",U$7&gt;=$F28,U$7&lt;=$F28+$G28-1),2,IF(AND($C28="Milestone",U$7&gt;=$F28,U$7&lt;=$F28+$G28-1),1,""))</f>
        <v/>
      </c>
      <c r="V28" s="152" t="str">
        <f aca="false">IF(AND($C28="Goal",V$7&gt;=$F28,V$7&lt;=$F28+$G28-1),2,IF(AND($C28="Milestone",V$7&gt;=$F28,V$7&lt;=$F28+$G28-1),1,""))</f>
        <v/>
      </c>
      <c r="W28" s="152" t="str">
        <f aca="false">IF(AND($C28="Goal",W$7&gt;=$F28,W$7&lt;=$F28+$G28-1),2,IF(AND($C28="Milestone",W$7&gt;=$F28,W$7&lt;=$F28+$G28-1),1,""))</f>
        <v/>
      </c>
      <c r="X28" s="152" t="str">
        <f aca="false">IF(AND($C28="Goal",X$7&gt;=$F28,X$7&lt;=$F28+$G28-1),2,IF(AND($C28="Milestone",X$7&gt;=$F28,X$7&lt;=$F28+$G28-1),1,""))</f>
        <v/>
      </c>
      <c r="Y28" s="152" t="str">
        <f aca="false">IF(AND($C28="Goal",Y$7&gt;=$F28,Y$7&lt;=$F28+$G28-1),2,IF(AND($C28="Milestone",Y$7&gt;=$F28,Y$7&lt;=$F28+$G28-1),1,""))</f>
        <v/>
      </c>
      <c r="Z28" s="152" t="str">
        <f aca="false">IF(AND($C28="Goal",Z$7&gt;=$F28,Z$7&lt;=$F28+$G28-1),2,IF(AND($C28="Milestone",Z$7&gt;=$F28,Z$7&lt;=$F28+$G28-1),1,""))</f>
        <v/>
      </c>
      <c r="AA28" s="152" t="str">
        <f aca="false">IF(AND($C28="Goal",AA$7&gt;=$F28,AA$7&lt;=$F28+$G28-1),2,IF(AND($C28="Milestone",AA$7&gt;=$F28,AA$7&lt;=$F28+$G28-1),1,""))</f>
        <v/>
      </c>
      <c r="AB28" s="152" t="str">
        <f aca="false">IF(AND($C28="Goal",AB$7&gt;=$F28,AB$7&lt;=$F28+$G28-1),2,IF(AND($C28="Milestone",AB$7&gt;=$F28,AB$7&lt;=$F28+$G28-1),1,""))</f>
        <v/>
      </c>
      <c r="AC28" s="152" t="str">
        <f aca="false">IF(AND($C28="Goal",AC$7&gt;=$F28,AC$7&lt;=$F28+$G28-1),2,IF(AND($C28="Milestone",AC$7&gt;=$F28,AC$7&lt;=$F28+$G28-1),1,""))</f>
        <v/>
      </c>
      <c r="AD28" s="152" t="str">
        <f aca="false">IF(AND($C28="Goal",AD$7&gt;=$F28,AD$7&lt;=$F28+$G28-1),2,IF(AND($C28="Milestone",AD$7&gt;=$F28,AD$7&lt;=$F28+$G28-1),1,""))</f>
        <v/>
      </c>
      <c r="AE28" s="152" t="str">
        <f aca="false">IF(AND($C28="Goal",AE$7&gt;=$F28,AE$7&lt;=$F28+$G28-1),2,IF(AND($C28="Milestone",AE$7&gt;=$F28,AE$7&lt;=$F28+$G28-1),1,""))</f>
        <v/>
      </c>
      <c r="AF28" s="152" t="str">
        <f aca="false">IF(AND($C28="Goal",AF$7&gt;=$F28,AF$7&lt;=$F28+$G28-1),2,IF(AND($C28="Milestone",AF$7&gt;=$F28,AF$7&lt;=$F28+$G28-1),1,""))</f>
        <v/>
      </c>
      <c r="AG28" s="152" t="str">
        <f aca="false">IF(AND($C28="Goal",AG$7&gt;=$F28,AG$7&lt;=$F28+$G28-1),2,IF(AND($C28="Milestone",AG$7&gt;=$F28,AG$7&lt;=$F28+$G28-1),1,""))</f>
        <v/>
      </c>
      <c r="AH28" s="152" t="str">
        <f aca="false">IF(AND($C28="Goal",AH$7&gt;=$F28,AH$7&lt;=$F28+$G28-1),2,IF(AND($C28="Milestone",AH$7&gt;=$F28,AH$7&lt;=$F28+$G28-1),1,""))</f>
        <v/>
      </c>
      <c r="AI28" s="152" t="str">
        <f aca="false">IF(AND($C28="Goal",AI$7&gt;=$F28,AI$7&lt;=$F28+$G28-1),2,IF(AND($C28="Milestone",AI$7&gt;=$F28,AI$7&lt;=$F28+$G28-1),1,""))</f>
        <v/>
      </c>
      <c r="AJ28" s="152" t="str">
        <f aca="false">IF(AND($C28="Goal",AJ$7&gt;=$F28,AJ$7&lt;=$F28+$G28-1),2,IF(AND($C28="Milestone",AJ$7&gt;=$F28,AJ$7&lt;=$F28+$G28-1),1,""))</f>
        <v/>
      </c>
      <c r="AK28" s="152" t="str">
        <f aca="false">IF(AND($C28="Goal",AK$7&gt;=$F28,AK$7&lt;=$F28+$G28-1),2,IF(AND($C28="Milestone",AK$7&gt;=$F28,AK$7&lt;=$F28+$G28-1),1,""))</f>
        <v/>
      </c>
      <c r="AL28" s="152" t="str">
        <f aca="false">IF(AND($C28="Goal",AL$7&gt;=$F28,AL$7&lt;=$F28+$G28-1),2,IF(AND($C28="Milestone",AL$7&gt;=$F28,AL$7&lt;=$F28+$G28-1),1,""))</f>
        <v/>
      </c>
      <c r="AM28" s="152" t="str">
        <f aca="false">IF(AND($C28="Goal",AM$7&gt;=$F28,AM$7&lt;=$F28+$G28-1),2,IF(AND($C28="Milestone",AM$7&gt;=$F28,AM$7&lt;=$F28+$G28-1),1,""))</f>
        <v/>
      </c>
      <c r="AN28" s="152" t="str">
        <f aca="false">IF(AND($C28="Goal",AN$7&gt;=$F28,AN$7&lt;=$F28+$G28-1),2,IF(AND($C28="Milestone",AN$7&gt;=$F28,AN$7&lt;=$F28+$G28-1),1,""))</f>
        <v/>
      </c>
      <c r="AO28" s="152" t="str">
        <f aca="false">IF(AND($C28="Goal",AO$7&gt;=$F28,AO$7&lt;=$F28+$G28-1),2,IF(AND($C28="Milestone",AO$7&gt;=$F28,AO$7&lt;=$F28+$G28-1),1,""))</f>
        <v/>
      </c>
      <c r="AP28" s="152" t="str">
        <f aca="false">IF(AND($C28="Goal",AP$7&gt;=$F28,AP$7&lt;=$F28+$G28-1),2,IF(AND($C28="Milestone",AP$7&gt;=$F28,AP$7&lt;=$F28+$G28-1),1,""))</f>
        <v/>
      </c>
      <c r="AQ28" s="152" t="str">
        <f aca="false">IF(AND($C28="Goal",AQ$7&gt;=$F28,AQ$7&lt;=$F28+$G28-1),2,IF(AND($C28="Milestone",AQ$7&gt;=$F28,AQ$7&lt;=$F28+$G28-1),1,""))</f>
        <v/>
      </c>
      <c r="AR28" s="152" t="str">
        <f aca="false">IF(AND($C28="Goal",AR$7&gt;=$F28,AR$7&lt;=$F28+$G28-1),2,IF(AND($C28="Milestone",AR$7&gt;=$F28,AR$7&lt;=$F28+$G28-1),1,""))</f>
        <v/>
      </c>
      <c r="AS28" s="152" t="str">
        <f aca="false">IF(AND($C28="Goal",AS$7&gt;=$F28,AS$7&lt;=$F28+$G28-1),2,IF(AND($C28="Milestone",AS$7&gt;=$F28,AS$7&lt;=$F28+$G28-1),1,""))</f>
        <v/>
      </c>
      <c r="AT28" s="152" t="str">
        <f aca="false">IF(AND($C28="Goal",AT$7&gt;=$F28,AT$7&lt;=$F28+$G28-1),2,IF(AND($C28="Milestone",AT$7&gt;=$F28,AT$7&lt;=$F28+$G28-1),1,""))</f>
        <v/>
      </c>
      <c r="AU28" s="152" t="str">
        <f aca="false">IF(AND($C28="Goal",AU$7&gt;=$F28,AU$7&lt;=$F28+$G28-1),2,IF(AND($C28="Milestone",AU$7&gt;=$F28,AU$7&lt;=$F28+$G28-1),1,""))</f>
        <v/>
      </c>
      <c r="AV28" s="152" t="str">
        <f aca="false">IF(AND($C28="Goal",AV$7&gt;=$F28,AV$7&lt;=$F28+$G28-1),2,IF(AND($C28="Milestone",AV$7&gt;=$F28,AV$7&lt;=$F28+$G28-1),1,""))</f>
        <v/>
      </c>
      <c r="AW28" s="152" t="str">
        <f aca="false">IF(AND($C28="Goal",AW$7&gt;=$F28,AW$7&lt;=$F28+$G28-1),2,IF(AND($C28="Milestone",AW$7&gt;=$F28,AW$7&lt;=$F28+$G28-1),1,""))</f>
        <v/>
      </c>
      <c r="AX28" s="152" t="str">
        <f aca="false">IF(AND($C28="Goal",AX$7&gt;=$F28,AX$7&lt;=$F28+$G28-1),2,IF(AND($C28="Milestone",AX$7&gt;=$F28,AX$7&lt;=$F28+$G28-1),1,""))</f>
        <v/>
      </c>
      <c r="AY28" s="152" t="str">
        <f aca="false">IF(AND($C28="Goal",AY$7&gt;=$F28,AY$7&lt;=$F28+$G28-1),2,IF(AND($C28="Milestone",AY$7&gt;=$F28,AY$7&lt;=$F28+$G28-1),1,""))</f>
        <v/>
      </c>
      <c r="AZ28" s="152" t="str">
        <f aca="false">IF(AND($C28="Goal",AZ$7&gt;=$F28,AZ$7&lt;=$F28+$G28-1),2,IF(AND($C28="Milestone",AZ$7&gt;=$F28,AZ$7&lt;=$F28+$G28-1),1,""))</f>
        <v/>
      </c>
      <c r="BA28" s="152" t="str">
        <f aca="false">IF(AND($C28="Goal",BA$7&gt;=$F28,BA$7&lt;=$F28+$G28-1),2,IF(AND($C28="Milestone",BA$7&gt;=$F28,BA$7&lt;=$F28+$G28-1),1,""))</f>
        <v/>
      </c>
      <c r="BB28" s="152" t="str">
        <f aca="false">IF(AND($C28="Goal",BB$7&gt;=$F28,BB$7&lt;=$F28+$G28-1),2,IF(AND($C28="Milestone",BB$7&gt;=$F28,BB$7&lt;=$F28+$G28-1),1,""))</f>
        <v/>
      </c>
      <c r="BC28" s="152" t="str">
        <f aca="false">IF(AND($C28="Goal",BC$7&gt;=$F28,BC$7&lt;=$F28+$G28-1),2,IF(AND($C28="Milestone",BC$7&gt;=$F28,BC$7&lt;=$F28+$G28-1),1,""))</f>
        <v/>
      </c>
      <c r="BD28" s="152" t="str">
        <f aca="false">IF(AND($C28="Goal",BD$7&gt;=$F28,BD$7&lt;=$F28+$G28-1),2,IF(AND($C28="Milestone",BD$7&gt;=$F28,BD$7&lt;=$F28+$G28-1),1,""))</f>
        <v/>
      </c>
      <c r="BE28" s="152" t="str">
        <f aca="false">IF(AND($C28="Goal",BE$7&gt;=$F28,BE$7&lt;=$F28+$G28-1),2,IF(AND($C28="Milestone",BE$7&gt;=$F28,BE$7&lt;=$F28+$G28-1),1,""))</f>
        <v/>
      </c>
      <c r="BF28" s="152" t="str">
        <f aca="false">IF(AND($C28="Goal",BF$7&gt;=$F28,BF$7&lt;=$F28+$G28-1),2,IF(AND($C28="Milestone",BF$7&gt;=$F28,BF$7&lt;=$F28+$G28-1),1,""))</f>
        <v/>
      </c>
      <c r="BG28" s="152" t="str">
        <f aca="false">IF(AND($C28="Goal",BG$7&gt;=$F28,BG$7&lt;=$F28+$G28-1),2,IF(AND($C28="Milestone",BG$7&gt;=$F28,BG$7&lt;=$F28+$G28-1),1,""))</f>
        <v/>
      </c>
      <c r="BH28" s="152" t="str">
        <f aca="false">IF(AND($C28="Goal",BH$7&gt;=$F28,BH$7&lt;=$F28+$G28-1),2,IF(AND($C28="Milestone",BH$7&gt;=$F28,BH$7&lt;=$F28+$G28-1),1,""))</f>
        <v/>
      </c>
      <c r="BI28" s="152" t="str">
        <f aca="false">IF(AND($C28="Goal",BI$7&gt;=$F28,BI$7&lt;=$F28+$G28-1),2,IF(AND($C28="Milestone",BI$7&gt;=$F28,BI$7&lt;=$F28+$G28-1),1,""))</f>
        <v/>
      </c>
      <c r="BJ28" s="152" t="str">
        <f aca="false">IF(AND($C28="Goal",BJ$7&gt;=$F28,BJ$7&lt;=$F28+$G28-1),2,IF(AND($C28="Milestone",BJ$7&gt;=$F28,BJ$7&lt;=$F28+$G28-1),1,""))</f>
        <v/>
      </c>
      <c r="BK28" s="152" t="str">
        <f aca="false">IF(AND($C28="Goal",BK$7&gt;=$F28,BK$7&lt;=$F28+$G28-1),2,IF(AND($C28="Milestone",BK$7&gt;=$F28,BK$7&lt;=$F28+$G28-1),1,""))</f>
        <v/>
      </c>
      <c r="BL28" s="152" t="str">
        <f aca="false">IF(AND($C28="Goal",BL$7&gt;=$F28,BL$7&lt;=$F28+$G28-1),2,IF(AND($C28="Milestone",BL$7&gt;=$F28,BL$7&lt;=$F28+$G28-1),1,""))</f>
        <v/>
      </c>
      <c r="BM28" s="114"/>
    </row>
    <row r="29" s="25" customFormat="true" ht="39.75" hidden="false" customHeight="true" outlineLevel="0" collapsed="false">
      <c r="A29" s="13"/>
      <c r="B29" s="145" t="s">
        <v>92</v>
      </c>
      <c r="C29" s="146"/>
      <c r="D29" s="146"/>
      <c r="E29" s="147"/>
      <c r="F29" s="148"/>
      <c r="G29" s="149"/>
      <c r="H29" s="150"/>
      <c r="I29" s="151" t="str">
        <f aca="false">IF(AND($C29="Goal",I$7&gt;=$F29,I$7&lt;=$F29+$G29-1),2,IF(AND($C29="Milestone",I$7&gt;=$F29,I$7&lt;=$F29+$G29-1),1,""))</f>
        <v/>
      </c>
      <c r="J29" s="152" t="str">
        <f aca="false">IF(AND($C29="Goal",J$7&gt;=$F29,J$7&lt;=$F29+$G29-1),2,IF(AND($C29="Milestone",J$7&gt;=$F29,J$7&lt;=$F29+$G29-1),1,""))</f>
        <v/>
      </c>
      <c r="K29" s="152" t="str">
        <f aca="false">IF(AND($C29="Goal",K$7&gt;=$F29,K$7&lt;=$F29+$G29-1),2,IF(AND($C29="Milestone",K$7&gt;=$F29,K$7&lt;=$F29+$G29-1),1,""))</f>
        <v/>
      </c>
      <c r="L29" s="152" t="str">
        <f aca="false">IF(AND($C29="Goal",L$7&gt;=$F29,L$7&lt;=$F29+$G29-1),2,IF(AND($C29="Milestone",L$7&gt;=$F29,L$7&lt;=$F29+$G29-1),1,""))</f>
        <v/>
      </c>
      <c r="M29" s="152" t="str">
        <f aca="false">IF(AND($C29="Goal",M$7&gt;=$F29,M$7&lt;=$F29+$G29-1),2,IF(AND($C29="Milestone",M$7&gt;=$F29,M$7&lt;=$F29+$G29-1),1,""))</f>
        <v/>
      </c>
      <c r="N29" s="152" t="str">
        <f aca="false">IF(AND($C29="Goal",N$7&gt;=$F29,N$7&lt;=$F29+$G29-1),2,IF(AND($C29="Milestone",N$7&gt;=$F29,N$7&lt;=$F29+$G29-1),1,""))</f>
        <v/>
      </c>
      <c r="O29" s="152" t="str">
        <f aca="false">IF(AND($C29="Goal",O$7&gt;=$F29,O$7&lt;=$F29+$G29-1),2,IF(AND($C29="Milestone",O$7&gt;=$F29,O$7&lt;=$F29+$G29-1),1,""))</f>
        <v/>
      </c>
      <c r="P29" s="152" t="str">
        <f aca="false">IF(AND($C29="Goal",P$7&gt;=$F29,P$7&lt;=$F29+$G29-1),2,IF(AND($C29="Milestone",P$7&gt;=$F29,P$7&lt;=$F29+$G29-1),1,""))</f>
        <v/>
      </c>
      <c r="Q29" s="152" t="str">
        <f aca="false">IF(AND($C29="Goal",Q$7&gt;=$F29,Q$7&lt;=$F29+$G29-1),2,IF(AND($C29="Milestone",Q$7&gt;=$F29,Q$7&lt;=$F29+$G29-1),1,""))</f>
        <v/>
      </c>
      <c r="R29" s="152" t="str">
        <f aca="false">IF(AND($C29="Goal",R$7&gt;=$F29,R$7&lt;=$F29+$G29-1),2,IF(AND($C29="Milestone",R$7&gt;=$F29,R$7&lt;=$F29+$G29-1),1,""))</f>
        <v/>
      </c>
      <c r="S29" s="152" t="str">
        <f aca="false">IF(AND($C29="Goal",S$7&gt;=$F29,S$7&lt;=$F29+$G29-1),2,IF(AND($C29="Milestone",S$7&gt;=$F29,S$7&lt;=$F29+$G29-1),1,""))</f>
        <v/>
      </c>
      <c r="T29" s="152" t="str">
        <f aca="false">IF(AND($C29="Goal",T$7&gt;=$F29,T$7&lt;=$F29+$G29-1),2,IF(AND($C29="Milestone",T$7&gt;=$F29,T$7&lt;=$F29+$G29-1),1,""))</f>
        <v/>
      </c>
      <c r="U29" s="152" t="str">
        <f aca="false">IF(AND($C29="Goal",U$7&gt;=$F29,U$7&lt;=$F29+$G29-1),2,IF(AND($C29="Milestone",U$7&gt;=$F29,U$7&lt;=$F29+$G29-1),1,""))</f>
        <v/>
      </c>
      <c r="V29" s="152" t="str">
        <f aca="false">IF(AND($C29="Goal",V$7&gt;=$F29,V$7&lt;=$F29+$G29-1),2,IF(AND($C29="Milestone",V$7&gt;=$F29,V$7&lt;=$F29+$G29-1),1,""))</f>
        <v/>
      </c>
      <c r="W29" s="152" t="str">
        <f aca="false">IF(AND($C29="Goal",W$7&gt;=$F29,W$7&lt;=$F29+$G29-1),2,IF(AND($C29="Milestone",W$7&gt;=$F29,W$7&lt;=$F29+$G29-1),1,""))</f>
        <v/>
      </c>
      <c r="X29" s="152" t="str">
        <f aca="false">IF(AND($C29="Goal",X$7&gt;=$F29,X$7&lt;=$F29+$G29-1),2,IF(AND($C29="Milestone",X$7&gt;=$F29,X$7&lt;=$F29+$G29-1),1,""))</f>
        <v/>
      </c>
      <c r="Y29" s="152" t="str">
        <f aca="false">IF(AND($C29="Goal",Y$7&gt;=$F29,Y$7&lt;=$F29+$G29-1),2,IF(AND($C29="Milestone",Y$7&gt;=$F29,Y$7&lt;=$F29+$G29-1),1,""))</f>
        <v/>
      </c>
      <c r="Z29" s="152" t="str">
        <f aca="false">IF(AND($C29="Goal",Z$7&gt;=$F29,Z$7&lt;=$F29+$G29-1),2,IF(AND($C29="Milestone",Z$7&gt;=$F29,Z$7&lt;=$F29+$G29-1),1,""))</f>
        <v/>
      </c>
      <c r="AA29" s="152" t="str">
        <f aca="false">IF(AND($C29="Goal",AA$7&gt;=$F29,AA$7&lt;=$F29+$G29-1),2,IF(AND($C29="Milestone",AA$7&gt;=$F29,AA$7&lt;=$F29+$G29-1),1,""))</f>
        <v/>
      </c>
      <c r="AB29" s="152" t="str">
        <f aca="false">IF(AND($C29="Goal",AB$7&gt;=$F29,AB$7&lt;=$F29+$G29-1),2,IF(AND($C29="Milestone",AB$7&gt;=$F29,AB$7&lt;=$F29+$G29-1),1,""))</f>
        <v/>
      </c>
      <c r="AC29" s="152" t="str">
        <f aca="false">IF(AND($C29="Goal",AC$7&gt;=$F29,AC$7&lt;=$F29+$G29-1),2,IF(AND($C29="Milestone",AC$7&gt;=$F29,AC$7&lt;=$F29+$G29-1),1,""))</f>
        <v/>
      </c>
      <c r="AD29" s="152" t="str">
        <f aca="false">IF(AND($C29="Goal",AD$7&gt;=$F29,AD$7&lt;=$F29+$G29-1),2,IF(AND($C29="Milestone",AD$7&gt;=$F29,AD$7&lt;=$F29+$G29-1),1,""))</f>
        <v/>
      </c>
      <c r="AE29" s="152" t="str">
        <f aca="false">IF(AND($C29="Goal",AE$7&gt;=$F29,AE$7&lt;=$F29+$G29-1),2,IF(AND($C29="Milestone",AE$7&gt;=$F29,AE$7&lt;=$F29+$G29-1),1,""))</f>
        <v/>
      </c>
      <c r="AF29" s="152" t="str">
        <f aca="false">IF(AND($C29="Goal",AF$7&gt;=$F29,AF$7&lt;=$F29+$G29-1),2,IF(AND($C29="Milestone",AF$7&gt;=$F29,AF$7&lt;=$F29+$G29-1),1,""))</f>
        <v/>
      </c>
      <c r="AG29" s="152" t="str">
        <f aca="false">IF(AND($C29="Goal",AG$7&gt;=$F29,AG$7&lt;=$F29+$G29-1),2,IF(AND($C29="Milestone",AG$7&gt;=$F29,AG$7&lt;=$F29+$G29-1),1,""))</f>
        <v/>
      </c>
      <c r="AH29" s="152" t="str">
        <f aca="false">IF(AND($C29="Goal",AH$7&gt;=$F29,AH$7&lt;=$F29+$G29-1),2,IF(AND($C29="Milestone",AH$7&gt;=$F29,AH$7&lt;=$F29+$G29-1),1,""))</f>
        <v/>
      </c>
      <c r="AI29" s="152" t="str">
        <f aca="false">IF(AND($C29="Goal",AI$7&gt;=$F29,AI$7&lt;=$F29+$G29-1),2,IF(AND($C29="Milestone",AI$7&gt;=$F29,AI$7&lt;=$F29+$G29-1),1,""))</f>
        <v/>
      </c>
      <c r="AJ29" s="152" t="str">
        <f aca="false">IF(AND($C29="Goal",AJ$7&gt;=$F29,AJ$7&lt;=$F29+$G29-1),2,IF(AND($C29="Milestone",AJ$7&gt;=$F29,AJ$7&lt;=$F29+$G29-1),1,""))</f>
        <v/>
      </c>
      <c r="AK29" s="152" t="str">
        <f aca="false">IF(AND($C29="Goal",AK$7&gt;=$F29,AK$7&lt;=$F29+$G29-1),2,IF(AND($C29="Milestone",AK$7&gt;=$F29,AK$7&lt;=$F29+$G29-1),1,""))</f>
        <v/>
      </c>
      <c r="AL29" s="152" t="str">
        <f aca="false">IF(AND($C29="Goal",AL$7&gt;=$F29,AL$7&lt;=$F29+$G29-1),2,IF(AND($C29="Milestone",AL$7&gt;=$F29,AL$7&lt;=$F29+$G29-1),1,""))</f>
        <v/>
      </c>
      <c r="AM29" s="152" t="str">
        <f aca="false">IF(AND($C29="Goal",AM$7&gt;=$F29,AM$7&lt;=$F29+$G29-1),2,IF(AND($C29="Milestone",AM$7&gt;=$F29,AM$7&lt;=$F29+$G29-1),1,""))</f>
        <v/>
      </c>
      <c r="AN29" s="152" t="str">
        <f aca="false">IF(AND($C29="Goal",AN$7&gt;=$F29,AN$7&lt;=$F29+$G29-1),2,IF(AND($C29="Milestone",AN$7&gt;=$F29,AN$7&lt;=$F29+$G29-1),1,""))</f>
        <v/>
      </c>
      <c r="AO29" s="152" t="str">
        <f aca="false">IF(AND($C29="Goal",AO$7&gt;=$F29,AO$7&lt;=$F29+$G29-1),2,IF(AND($C29="Milestone",AO$7&gt;=$F29,AO$7&lt;=$F29+$G29-1),1,""))</f>
        <v/>
      </c>
      <c r="AP29" s="152" t="str">
        <f aca="false">IF(AND($C29="Goal",AP$7&gt;=$F29,AP$7&lt;=$F29+$G29-1),2,IF(AND($C29="Milestone",AP$7&gt;=$F29,AP$7&lt;=$F29+$G29-1),1,""))</f>
        <v/>
      </c>
      <c r="AQ29" s="152" t="str">
        <f aca="false">IF(AND($C29="Goal",AQ$7&gt;=$F29,AQ$7&lt;=$F29+$G29-1),2,IF(AND($C29="Milestone",AQ$7&gt;=$F29,AQ$7&lt;=$F29+$G29-1),1,""))</f>
        <v/>
      </c>
      <c r="AR29" s="152" t="str">
        <f aca="false">IF(AND($C29="Goal",AR$7&gt;=$F29,AR$7&lt;=$F29+$G29-1),2,IF(AND($C29="Milestone",AR$7&gt;=$F29,AR$7&lt;=$F29+$G29-1),1,""))</f>
        <v/>
      </c>
      <c r="AS29" s="152" t="str">
        <f aca="false">IF(AND($C29="Goal",AS$7&gt;=$F29,AS$7&lt;=$F29+$G29-1),2,IF(AND($C29="Milestone",AS$7&gt;=$F29,AS$7&lt;=$F29+$G29-1),1,""))</f>
        <v/>
      </c>
      <c r="AT29" s="152" t="str">
        <f aca="false">IF(AND($C29="Goal",AT$7&gt;=$F29,AT$7&lt;=$F29+$G29-1),2,IF(AND($C29="Milestone",AT$7&gt;=$F29,AT$7&lt;=$F29+$G29-1),1,""))</f>
        <v/>
      </c>
      <c r="AU29" s="152" t="str">
        <f aca="false">IF(AND($C29="Goal",AU$7&gt;=$F29,AU$7&lt;=$F29+$G29-1),2,IF(AND($C29="Milestone",AU$7&gt;=$F29,AU$7&lt;=$F29+$G29-1),1,""))</f>
        <v/>
      </c>
      <c r="AV29" s="152" t="str">
        <f aca="false">IF(AND($C29="Goal",AV$7&gt;=$F29,AV$7&lt;=$F29+$G29-1),2,IF(AND($C29="Milestone",AV$7&gt;=$F29,AV$7&lt;=$F29+$G29-1),1,""))</f>
        <v/>
      </c>
      <c r="AW29" s="152" t="str">
        <f aca="false">IF(AND($C29="Goal",AW$7&gt;=$F29,AW$7&lt;=$F29+$G29-1),2,IF(AND($C29="Milestone",AW$7&gt;=$F29,AW$7&lt;=$F29+$G29-1),1,""))</f>
        <v/>
      </c>
      <c r="AX29" s="152" t="str">
        <f aca="false">IF(AND($C29="Goal",AX$7&gt;=$F29,AX$7&lt;=$F29+$G29-1),2,IF(AND($C29="Milestone",AX$7&gt;=$F29,AX$7&lt;=$F29+$G29-1),1,""))</f>
        <v/>
      </c>
      <c r="AY29" s="152" t="str">
        <f aca="false">IF(AND($C29="Goal",AY$7&gt;=$F29,AY$7&lt;=$F29+$G29-1),2,IF(AND($C29="Milestone",AY$7&gt;=$F29,AY$7&lt;=$F29+$G29-1),1,""))</f>
        <v/>
      </c>
      <c r="AZ29" s="152" t="str">
        <f aca="false">IF(AND($C29="Goal",AZ$7&gt;=$F29,AZ$7&lt;=$F29+$G29-1),2,IF(AND($C29="Milestone",AZ$7&gt;=$F29,AZ$7&lt;=$F29+$G29-1),1,""))</f>
        <v/>
      </c>
      <c r="BA29" s="152" t="str">
        <f aca="false">IF(AND($C29="Goal",BA$7&gt;=$F29,BA$7&lt;=$F29+$G29-1),2,IF(AND($C29="Milestone",BA$7&gt;=$F29,BA$7&lt;=$F29+$G29-1),1,""))</f>
        <v/>
      </c>
      <c r="BB29" s="152" t="str">
        <f aca="false">IF(AND($C29="Goal",BB$7&gt;=$F29,BB$7&lt;=$F29+$G29-1),2,IF(AND($C29="Milestone",BB$7&gt;=$F29,BB$7&lt;=$F29+$G29-1),1,""))</f>
        <v/>
      </c>
      <c r="BC29" s="152" t="str">
        <f aca="false">IF(AND($C29="Goal",BC$7&gt;=$F29,BC$7&lt;=$F29+$G29-1),2,IF(AND($C29="Milestone",BC$7&gt;=$F29,BC$7&lt;=$F29+$G29-1),1,""))</f>
        <v/>
      </c>
      <c r="BD29" s="152" t="str">
        <f aca="false">IF(AND($C29="Goal",BD$7&gt;=$F29,BD$7&lt;=$F29+$G29-1),2,IF(AND($C29="Milestone",BD$7&gt;=$F29,BD$7&lt;=$F29+$G29-1),1,""))</f>
        <v/>
      </c>
      <c r="BE29" s="152" t="str">
        <f aca="false">IF(AND($C29="Goal",BE$7&gt;=$F29,BE$7&lt;=$F29+$G29-1),2,IF(AND($C29="Milestone",BE$7&gt;=$F29,BE$7&lt;=$F29+$G29-1),1,""))</f>
        <v/>
      </c>
      <c r="BF29" s="152" t="str">
        <f aca="false">IF(AND($C29="Goal",BF$7&gt;=$F29,BF$7&lt;=$F29+$G29-1),2,IF(AND($C29="Milestone",BF$7&gt;=$F29,BF$7&lt;=$F29+$G29-1),1,""))</f>
        <v/>
      </c>
      <c r="BG29" s="152" t="str">
        <f aca="false">IF(AND($C29="Goal",BG$7&gt;=$F29,BG$7&lt;=$F29+$G29-1),2,IF(AND($C29="Milestone",BG$7&gt;=$F29,BG$7&lt;=$F29+$G29-1),1,""))</f>
        <v/>
      </c>
      <c r="BH29" s="152" t="str">
        <f aca="false">IF(AND($C29="Goal",BH$7&gt;=$F29,BH$7&lt;=$F29+$G29-1),2,IF(AND($C29="Milestone",BH$7&gt;=$F29,BH$7&lt;=$F29+$G29-1),1,""))</f>
        <v/>
      </c>
      <c r="BI29" s="152" t="str">
        <f aca="false">IF(AND($C29="Goal",BI$7&gt;=$F29,BI$7&lt;=$F29+$G29-1),2,IF(AND($C29="Milestone",BI$7&gt;=$F29,BI$7&lt;=$F29+$G29-1),1,""))</f>
        <v/>
      </c>
      <c r="BJ29" s="152" t="str">
        <f aca="false">IF(AND($C29="Goal",BJ$7&gt;=$F29,BJ$7&lt;=$F29+$G29-1),2,IF(AND($C29="Milestone",BJ$7&gt;=$F29,BJ$7&lt;=$F29+$G29-1),1,""))</f>
        <v/>
      </c>
      <c r="BK29" s="152" t="str">
        <f aca="false">IF(AND($C29="Goal",BK$7&gt;=$F29,BK$7&lt;=$F29+$G29-1),2,IF(AND($C29="Milestone",BK$7&gt;=$F29,BK$7&lt;=$F29+$G29-1),1,""))</f>
        <v/>
      </c>
      <c r="BL29" s="152" t="str">
        <f aca="false">IF(AND($C29="Goal",BL$7&gt;=$F29,BL$7&lt;=$F29+$G29-1),2,IF(AND($C29="Milestone",BL$7&gt;=$F29,BL$7&lt;=$F29+$G29-1),1,""))</f>
        <v/>
      </c>
      <c r="BM29" s="114"/>
    </row>
    <row r="30" s="25" customFormat="true" ht="39.75" hidden="false" customHeight="true" outlineLevel="0" collapsed="false">
      <c r="A30" s="13"/>
      <c r="B30" s="153" t="s">
        <v>81</v>
      </c>
      <c r="C30" s="146"/>
      <c r="D30" s="146"/>
      <c r="E30" s="147"/>
      <c r="F30" s="148" t="n">
        <f aca="false">F27+3</f>
        <v>46005</v>
      </c>
      <c r="G30" s="149" t="n">
        <v>15</v>
      </c>
      <c r="H30" s="150"/>
      <c r="I30" s="151" t="str">
        <f aca="false">IF(AND($C30="Goal",I$7&gt;=$F30,I$7&lt;=$F30+$G30-1),2,IF(AND($C30="Milestone",I$7&gt;=$F30,I$7&lt;=$F30+$G30-1),1,""))</f>
        <v/>
      </c>
      <c r="J30" s="152" t="str">
        <f aca="false">IF(AND($C30="Goal",J$7&gt;=$F30,J$7&lt;=$F30+$G30-1),2,IF(AND($C30="Milestone",J$7&gt;=$F30,J$7&lt;=$F30+$G30-1),1,""))</f>
        <v/>
      </c>
      <c r="K30" s="152" t="str">
        <f aca="false">IF(AND($C30="Goal",K$7&gt;=$F30,K$7&lt;=$F30+$G30-1),2,IF(AND($C30="Milestone",K$7&gt;=$F30,K$7&lt;=$F30+$G30-1),1,""))</f>
        <v/>
      </c>
      <c r="L30" s="152" t="str">
        <f aca="false">IF(AND($C30="Goal",L$7&gt;=$F30,L$7&lt;=$F30+$G30-1),2,IF(AND($C30="Milestone",L$7&gt;=$F30,L$7&lt;=$F30+$G30-1),1,""))</f>
        <v/>
      </c>
      <c r="M30" s="152" t="str">
        <f aca="false">IF(AND($C30="Goal",M$7&gt;=$F30,M$7&lt;=$F30+$G30-1),2,IF(AND($C30="Milestone",M$7&gt;=$F30,M$7&lt;=$F30+$G30-1),1,""))</f>
        <v/>
      </c>
      <c r="N30" s="152" t="str">
        <f aca="false">IF(AND($C30="Goal",N$7&gt;=$F30,N$7&lt;=$F30+$G30-1),2,IF(AND($C30="Milestone",N$7&gt;=$F30,N$7&lt;=$F30+$G30-1),1,""))</f>
        <v/>
      </c>
      <c r="O30" s="152" t="str">
        <f aca="false">IF(AND($C30="Goal",O$7&gt;=$F30,O$7&lt;=$F30+$G30-1),2,IF(AND($C30="Milestone",O$7&gt;=$F30,O$7&lt;=$F30+$G30-1),1,""))</f>
        <v/>
      </c>
      <c r="P30" s="152" t="str">
        <f aca="false">IF(AND($C30="Goal",P$7&gt;=$F30,P$7&lt;=$F30+$G30-1),2,IF(AND($C30="Milestone",P$7&gt;=$F30,P$7&lt;=$F30+$G30-1),1,""))</f>
        <v/>
      </c>
      <c r="Q30" s="152" t="str">
        <f aca="false">IF(AND($C30="Goal",Q$7&gt;=$F30,Q$7&lt;=$F30+$G30-1),2,IF(AND($C30="Milestone",Q$7&gt;=$F30,Q$7&lt;=$F30+$G30-1),1,""))</f>
        <v/>
      </c>
      <c r="R30" s="152" t="str">
        <f aca="false">IF(AND($C30="Goal",R$7&gt;=$F30,R$7&lt;=$F30+$G30-1),2,IF(AND($C30="Milestone",R$7&gt;=$F30,R$7&lt;=$F30+$G30-1),1,""))</f>
        <v/>
      </c>
      <c r="S30" s="152" t="str">
        <f aca="false">IF(AND($C30="Goal",S$7&gt;=$F30,S$7&lt;=$F30+$G30-1),2,IF(AND($C30="Milestone",S$7&gt;=$F30,S$7&lt;=$F30+$G30-1),1,""))</f>
        <v/>
      </c>
      <c r="T30" s="152" t="str">
        <f aca="false">IF(AND($C30="Goal",T$7&gt;=$F30,T$7&lt;=$F30+$G30-1),2,IF(AND($C30="Milestone",T$7&gt;=$F30,T$7&lt;=$F30+$G30-1),1,""))</f>
        <v/>
      </c>
      <c r="U30" s="152" t="str">
        <f aca="false">IF(AND($C30="Goal",U$7&gt;=$F30,U$7&lt;=$F30+$G30-1),2,IF(AND($C30="Milestone",U$7&gt;=$F30,U$7&lt;=$F30+$G30-1),1,""))</f>
        <v/>
      </c>
      <c r="V30" s="152" t="str">
        <f aca="false">IF(AND($C30="Goal",V$7&gt;=$F30,V$7&lt;=$F30+$G30-1),2,IF(AND($C30="Milestone",V$7&gt;=$F30,V$7&lt;=$F30+$G30-1),1,""))</f>
        <v/>
      </c>
      <c r="W30" s="152" t="str">
        <f aca="false">IF(AND($C30="Goal",W$7&gt;=$F30,W$7&lt;=$F30+$G30-1),2,IF(AND($C30="Milestone",W$7&gt;=$F30,W$7&lt;=$F30+$G30-1),1,""))</f>
        <v/>
      </c>
      <c r="X30" s="152" t="str">
        <f aca="false">IF(AND($C30="Goal",X$7&gt;=$F30,X$7&lt;=$F30+$G30-1),2,IF(AND($C30="Milestone",X$7&gt;=$F30,X$7&lt;=$F30+$G30-1),1,""))</f>
        <v/>
      </c>
      <c r="Y30" s="152" t="str">
        <f aca="false">IF(AND($C30="Goal",Y$7&gt;=$F30,Y$7&lt;=$F30+$G30-1),2,IF(AND($C30="Milestone",Y$7&gt;=$F30,Y$7&lt;=$F30+$G30-1),1,""))</f>
        <v/>
      </c>
      <c r="Z30" s="152" t="str">
        <f aca="false">IF(AND($C30="Goal",Z$7&gt;=$F30,Z$7&lt;=$F30+$G30-1),2,IF(AND($C30="Milestone",Z$7&gt;=$F30,Z$7&lt;=$F30+$G30-1),1,""))</f>
        <v/>
      </c>
      <c r="AA30" s="152" t="str">
        <f aca="false">IF(AND($C30="Goal",AA$7&gt;=$F30,AA$7&lt;=$F30+$G30-1),2,IF(AND($C30="Milestone",AA$7&gt;=$F30,AA$7&lt;=$F30+$G30-1),1,""))</f>
        <v/>
      </c>
      <c r="AB30" s="152" t="str">
        <f aca="false">IF(AND($C30="Goal",AB$7&gt;=$F30,AB$7&lt;=$F30+$G30-1),2,IF(AND($C30="Milestone",AB$7&gt;=$F30,AB$7&lt;=$F30+$G30-1),1,""))</f>
        <v/>
      </c>
      <c r="AC30" s="152" t="str">
        <f aca="false">IF(AND($C30="Goal",AC$7&gt;=$F30,AC$7&lt;=$F30+$G30-1),2,IF(AND($C30="Milestone",AC$7&gt;=$F30,AC$7&lt;=$F30+$G30-1),1,""))</f>
        <v/>
      </c>
      <c r="AD30" s="152" t="str">
        <f aca="false">IF(AND($C30="Goal",AD$7&gt;=$F30,AD$7&lt;=$F30+$G30-1),2,IF(AND($C30="Milestone",AD$7&gt;=$F30,AD$7&lt;=$F30+$G30-1),1,""))</f>
        <v/>
      </c>
      <c r="AE30" s="152" t="str">
        <f aca="false">IF(AND($C30="Goal",AE$7&gt;=$F30,AE$7&lt;=$F30+$G30-1),2,IF(AND($C30="Milestone",AE$7&gt;=$F30,AE$7&lt;=$F30+$G30-1),1,""))</f>
        <v/>
      </c>
      <c r="AF30" s="152" t="str">
        <f aca="false">IF(AND($C30="Goal",AF$7&gt;=$F30,AF$7&lt;=$F30+$G30-1),2,IF(AND($C30="Milestone",AF$7&gt;=$F30,AF$7&lt;=$F30+$G30-1),1,""))</f>
        <v/>
      </c>
      <c r="AG30" s="152" t="str">
        <f aca="false">IF(AND($C30="Goal",AG$7&gt;=$F30,AG$7&lt;=$F30+$G30-1),2,IF(AND($C30="Milestone",AG$7&gt;=$F30,AG$7&lt;=$F30+$G30-1),1,""))</f>
        <v/>
      </c>
      <c r="AH30" s="152" t="str">
        <f aca="false">IF(AND($C30="Goal",AH$7&gt;=$F30,AH$7&lt;=$F30+$G30-1),2,IF(AND($C30="Milestone",AH$7&gt;=$F30,AH$7&lt;=$F30+$G30-1),1,""))</f>
        <v/>
      </c>
      <c r="AI30" s="152" t="str">
        <f aca="false">IF(AND($C30="Goal",AI$7&gt;=$F30,AI$7&lt;=$F30+$G30-1),2,IF(AND($C30="Milestone",AI$7&gt;=$F30,AI$7&lt;=$F30+$G30-1),1,""))</f>
        <v/>
      </c>
      <c r="AJ30" s="152" t="str">
        <f aca="false">IF(AND($C30="Goal",AJ$7&gt;=$F30,AJ$7&lt;=$F30+$G30-1),2,IF(AND($C30="Milestone",AJ$7&gt;=$F30,AJ$7&lt;=$F30+$G30-1),1,""))</f>
        <v/>
      </c>
      <c r="AK30" s="152" t="str">
        <f aca="false">IF(AND($C30="Goal",AK$7&gt;=$F30,AK$7&lt;=$F30+$G30-1),2,IF(AND($C30="Milestone",AK$7&gt;=$F30,AK$7&lt;=$F30+$G30-1),1,""))</f>
        <v/>
      </c>
      <c r="AL30" s="152" t="str">
        <f aca="false">IF(AND($C30="Goal",AL$7&gt;=$F30,AL$7&lt;=$F30+$G30-1),2,IF(AND($C30="Milestone",AL$7&gt;=$F30,AL$7&lt;=$F30+$G30-1),1,""))</f>
        <v/>
      </c>
      <c r="AM30" s="152" t="str">
        <f aca="false">IF(AND($C30="Goal",AM$7&gt;=$F30,AM$7&lt;=$F30+$G30-1),2,IF(AND($C30="Milestone",AM$7&gt;=$F30,AM$7&lt;=$F30+$G30-1),1,""))</f>
        <v/>
      </c>
      <c r="AN30" s="152" t="str">
        <f aca="false">IF(AND($C30="Goal",AN$7&gt;=$F30,AN$7&lt;=$F30+$G30-1),2,IF(AND($C30="Milestone",AN$7&gt;=$F30,AN$7&lt;=$F30+$G30-1),1,""))</f>
        <v/>
      </c>
      <c r="AO30" s="152" t="str">
        <f aca="false">IF(AND($C30="Goal",AO$7&gt;=$F30,AO$7&lt;=$F30+$G30-1),2,IF(AND($C30="Milestone",AO$7&gt;=$F30,AO$7&lt;=$F30+$G30-1),1,""))</f>
        <v/>
      </c>
      <c r="AP30" s="152" t="str">
        <f aca="false">IF(AND($C30="Goal",AP$7&gt;=$F30,AP$7&lt;=$F30+$G30-1),2,IF(AND($C30="Milestone",AP$7&gt;=$F30,AP$7&lt;=$F30+$G30-1),1,""))</f>
        <v/>
      </c>
      <c r="AQ30" s="152" t="str">
        <f aca="false">IF(AND($C30="Goal",AQ$7&gt;=$F30,AQ$7&lt;=$F30+$G30-1),2,IF(AND($C30="Milestone",AQ$7&gt;=$F30,AQ$7&lt;=$F30+$G30-1),1,""))</f>
        <v/>
      </c>
      <c r="AR30" s="152" t="str">
        <f aca="false">IF(AND($C30="Goal",AR$7&gt;=$F30,AR$7&lt;=$F30+$G30-1),2,IF(AND($C30="Milestone",AR$7&gt;=$F30,AR$7&lt;=$F30+$G30-1),1,""))</f>
        <v/>
      </c>
      <c r="AS30" s="152" t="str">
        <f aca="false">IF(AND($C30="Goal",AS$7&gt;=$F30,AS$7&lt;=$F30+$G30-1),2,IF(AND($C30="Milestone",AS$7&gt;=$F30,AS$7&lt;=$F30+$G30-1),1,""))</f>
        <v/>
      </c>
      <c r="AT30" s="152" t="str">
        <f aca="false">IF(AND($C30="Goal",AT$7&gt;=$F30,AT$7&lt;=$F30+$G30-1),2,IF(AND($C30="Milestone",AT$7&gt;=$F30,AT$7&lt;=$F30+$G30-1),1,""))</f>
        <v/>
      </c>
      <c r="AU30" s="152" t="str">
        <f aca="false">IF(AND($C30="Goal",AU$7&gt;=$F30,AU$7&lt;=$F30+$G30-1),2,IF(AND($C30="Milestone",AU$7&gt;=$F30,AU$7&lt;=$F30+$G30-1),1,""))</f>
        <v/>
      </c>
      <c r="AV30" s="152" t="str">
        <f aca="false">IF(AND($C30="Goal",AV$7&gt;=$F30,AV$7&lt;=$F30+$G30-1),2,IF(AND($C30="Milestone",AV$7&gt;=$F30,AV$7&lt;=$F30+$G30-1),1,""))</f>
        <v/>
      </c>
      <c r="AW30" s="152" t="str">
        <f aca="false">IF(AND($C30="Goal",AW$7&gt;=$F30,AW$7&lt;=$F30+$G30-1),2,IF(AND($C30="Milestone",AW$7&gt;=$F30,AW$7&lt;=$F30+$G30-1),1,""))</f>
        <v/>
      </c>
      <c r="AX30" s="152" t="str">
        <f aca="false">IF(AND($C30="Goal",AX$7&gt;=$F30,AX$7&lt;=$F30+$G30-1),2,IF(AND($C30="Milestone",AX$7&gt;=$F30,AX$7&lt;=$F30+$G30-1),1,""))</f>
        <v/>
      </c>
      <c r="AY30" s="152" t="str">
        <f aca="false">IF(AND($C30="Goal",AY$7&gt;=$F30,AY$7&lt;=$F30+$G30-1),2,IF(AND($C30="Milestone",AY$7&gt;=$F30,AY$7&lt;=$F30+$G30-1),1,""))</f>
        <v/>
      </c>
      <c r="AZ30" s="152" t="str">
        <f aca="false">IF(AND($C30="Goal",AZ$7&gt;=$F30,AZ$7&lt;=$F30+$G30-1),2,IF(AND($C30="Milestone",AZ$7&gt;=$F30,AZ$7&lt;=$F30+$G30-1),1,""))</f>
        <v/>
      </c>
      <c r="BA30" s="152" t="str">
        <f aca="false">IF(AND($C30="Goal",BA$7&gt;=$F30,BA$7&lt;=$F30+$G30-1),2,IF(AND($C30="Milestone",BA$7&gt;=$F30,BA$7&lt;=$F30+$G30-1),1,""))</f>
        <v/>
      </c>
      <c r="BB30" s="152" t="str">
        <f aca="false">IF(AND($C30="Goal",BB$7&gt;=$F30,BB$7&lt;=$F30+$G30-1),2,IF(AND($C30="Milestone",BB$7&gt;=$F30,BB$7&lt;=$F30+$G30-1),1,""))</f>
        <v/>
      </c>
      <c r="BC30" s="152" t="str">
        <f aca="false">IF(AND($C30="Goal",BC$7&gt;=$F30,BC$7&lt;=$F30+$G30-1),2,IF(AND($C30="Milestone",BC$7&gt;=$F30,BC$7&lt;=$F30+$G30-1),1,""))</f>
        <v/>
      </c>
      <c r="BD30" s="152" t="str">
        <f aca="false">IF(AND($C30="Goal",BD$7&gt;=$F30,BD$7&lt;=$F30+$G30-1),2,IF(AND($C30="Milestone",BD$7&gt;=$F30,BD$7&lt;=$F30+$G30-1),1,""))</f>
        <v/>
      </c>
      <c r="BE30" s="152" t="str">
        <f aca="false">IF(AND($C30="Goal",BE$7&gt;=$F30,BE$7&lt;=$F30+$G30-1),2,IF(AND($C30="Milestone",BE$7&gt;=$F30,BE$7&lt;=$F30+$G30-1),1,""))</f>
        <v/>
      </c>
      <c r="BF30" s="152" t="str">
        <f aca="false">IF(AND($C30="Goal",BF$7&gt;=$F30,BF$7&lt;=$F30+$G30-1),2,IF(AND($C30="Milestone",BF$7&gt;=$F30,BF$7&lt;=$F30+$G30-1),1,""))</f>
        <v/>
      </c>
      <c r="BG30" s="152" t="str">
        <f aca="false">IF(AND($C30="Goal",BG$7&gt;=$F30,BG$7&lt;=$F30+$G30-1),2,IF(AND($C30="Milestone",BG$7&gt;=$F30,BG$7&lt;=$F30+$G30-1),1,""))</f>
        <v/>
      </c>
      <c r="BH30" s="152" t="str">
        <f aca="false">IF(AND($C30="Goal",BH$7&gt;=$F30,BH$7&lt;=$F30+$G30-1),2,IF(AND($C30="Milestone",BH$7&gt;=$F30,BH$7&lt;=$F30+$G30-1),1,""))</f>
        <v/>
      </c>
      <c r="BI30" s="152" t="str">
        <f aca="false">IF(AND($C30="Goal",BI$7&gt;=$F30,BI$7&lt;=$F30+$G30-1),2,IF(AND($C30="Milestone",BI$7&gt;=$F30,BI$7&lt;=$F30+$G30-1),1,""))</f>
        <v/>
      </c>
      <c r="BJ30" s="152" t="str">
        <f aca="false">IF(AND($C30="Goal",BJ$7&gt;=$F30,BJ$7&lt;=$F30+$G30-1),2,IF(AND($C30="Milestone",BJ$7&gt;=$F30,BJ$7&lt;=$F30+$G30-1),1,""))</f>
        <v/>
      </c>
      <c r="BK30" s="152" t="str">
        <f aca="false">IF(AND($C30="Goal",BK$7&gt;=$F30,BK$7&lt;=$F30+$G30-1),2,IF(AND($C30="Milestone",BK$7&gt;=$F30,BK$7&lt;=$F30+$G30-1),1,""))</f>
        <v/>
      </c>
      <c r="BL30" s="152" t="str">
        <f aca="false">IF(AND($C30="Goal",BL$7&gt;=$F30,BL$7&lt;=$F30+$G30-1),2,IF(AND($C30="Milestone",BL$7&gt;=$F30,BL$7&lt;=$F30+$G30-1),1,""))</f>
        <v/>
      </c>
      <c r="BM30" s="114"/>
    </row>
    <row r="31" s="25" customFormat="true" ht="39.75" hidden="false" customHeight="true" outlineLevel="0" collapsed="false">
      <c r="A31" s="13"/>
      <c r="B31" s="153" t="s">
        <v>84</v>
      </c>
      <c r="C31" s="146"/>
      <c r="D31" s="146"/>
      <c r="E31" s="147"/>
      <c r="F31" s="148" t="n">
        <f aca="false">F30+14</f>
        <v>46019</v>
      </c>
      <c r="G31" s="149" t="n">
        <v>5</v>
      </c>
      <c r="H31" s="150"/>
      <c r="I31" s="151" t="str">
        <f aca="false">IF(AND($C31="Goal",I$7&gt;=$F31,I$7&lt;=$F31+$G31-1),2,IF(AND($C31="Milestone",I$7&gt;=$F31,I$7&lt;=$F31+$G31-1),1,""))</f>
        <v/>
      </c>
      <c r="J31" s="152" t="str">
        <f aca="false">IF(AND($C31="Goal",J$7&gt;=$F31,J$7&lt;=$F31+$G31-1),2,IF(AND($C31="Milestone",J$7&gt;=$F31,J$7&lt;=$F31+$G31-1),1,""))</f>
        <v/>
      </c>
      <c r="K31" s="152" t="str">
        <f aca="false">IF(AND($C31="Goal",K$7&gt;=$F31,K$7&lt;=$F31+$G31-1),2,IF(AND($C31="Milestone",K$7&gt;=$F31,K$7&lt;=$F31+$G31-1),1,""))</f>
        <v/>
      </c>
      <c r="L31" s="152" t="str">
        <f aca="false">IF(AND($C31="Goal",L$7&gt;=$F31,L$7&lt;=$F31+$G31-1),2,IF(AND($C31="Milestone",L$7&gt;=$F31,L$7&lt;=$F31+$G31-1),1,""))</f>
        <v/>
      </c>
      <c r="M31" s="152" t="str">
        <f aca="false">IF(AND($C31="Goal",M$7&gt;=$F31,M$7&lt;=$F31+$G31-1),2,IF(AND($C31="Milestone",M$7&gt;=$F31,M$7&lt;=$F31+$G31-1),1,""))</f>
        <v/>
      </c>
      <c r="N31" s="152" t="str">
        <f aca="false">IF(AND($C31="Goal",N$7&gt;=$F31,N$7&lt;=$F31+$G31-1),2,IF(AND($C31="Milestone",N$7&gt;=$F31,N$7&lt;=$F31+$G31-1),1,""))</f>
        <v/>
      </c>
      <c r="O31" s="152" t="str">
        <f aca="false">IF(AND($C31="Goal",O$7&gt;=$F31,O$7&lt;=$F31+$G31-1),2,IF(AND($C31="Milestone",O$7&gt;=$F31,O$7&lt;=$F31+$G31-1),1,""))</f>
        <v/>
      </c>
      <c r="P31" s="152" t="str">
        <f aca="false">IF(AND($C31="Goal",P$7&gt;=$F31,P$7&lt;=$F31+$G31-1),2,IF(AND($C31="Milestone",P$7&gt;=$F31,P$7&lt;=$F31+$G31-1),1,""))</f>
        <v/>
      </c>
      <c r="Q31" s="152" t="str">
        <f aca="false">IF(AND($C31="Goal",Q$7&gt;=$F31,Q$7&lt;=$F31+$G31-1),2,IF(AND($C31="Milestone",Q$7&gt;=$F31,Q$7&lt;=$F31+$G31-1),1,""))</f>
        <v/>
      </c>
      <c r="R31" s="152" t="str">
        <f aca="false">IF(AND($C31="Goal",R$7&gt;=$F31,R$7&lt;=$F31+$G31-1),2,IF(AND($C31="Milestone",R$7&gt;=$F31,R$7&lt;=$F31+$G31-1),1,""))</f>
        <v/>
      </c>
      <c r="S31" s="152" t="str">
        <f aca="false">IF(AND($C31="Goal",S$7&gt;=$F31,S$7&lt;=$F31+$G31-1),2,IF(AND($C31="Milestone",S$7&gt;=$F31,S$7&lt;=$F31+$G31-1),1,""))</f>
        <v/>
      </c>
      <c r="T31" s="152" t="str">
        <f aca="false">IF(AND($C31="Goal",T$7&gt;=$F31,T$7&lt;=$F31+$G31-1),2,IF(AND($C31="Milestone",T$7&gt;=$F31,T$7&lt;=$F31+$G31-1),1,""))</f>
        <v/>
      </c>
      <c r="U31" s="152" t="str">
        <f aca="false">IF(AND($C31="Goal",U$7&gt;=$F31,U$7&lt;=$F31+$G31-1),2,IF(AND($C31="Milestone",U$7&gt;=$F31,U$7&lt;=$F31+$G31-1),1,""))</f>
        <v/>
      </c>
      <c r="V31" s="152" t="str">
        <f aca="false">IF(AND($C31="Goal",V$7&gt;=$F31,V$7&lt;=$F31+$G31-1),2,IF(AND($C31="Milestone",V$7&gt;=$F31,V$7&lt;=$F31+$G31-1),1,""))</f>
        <v/>
      </c>
      <c r="W31" s="152" t="str">
        <f aca="false">IF(AND($C31="Goal",W$7&gt;=$F31,W$7&lt;=$F31+$G31-1),2,IF(AND($C31="Milestone",W$7&gt;=$F31,W$7&lt;=$F31+$G31-1),1,""))</f>
        <v/>
      </c>
      <c r="X31" s="152" t="str">
        <f aca="false">IF(AND($C31="Goal",X$7&gt;=$F31,X$7&lt;=$F31+$G31-1),2,IF(AND($C31="Milestone",X$7&gt;=$F31,X$7&lt;=$F31+$G31-1),1,""))</f>
        <v/>
      </c>
      <c r="Y31" s="152" t="str">
        <f aca="false">IF(AND($C31="Goal",Y$7&gt;=$F31,Y$7&lt;=$F31+$G31-1),2,IF(AND($C31="Milestone",Y$7&gt;=$F31,Y$7&lt;=$F31+$G31-1),1,""))</f>
        <v/>
      </c>
      <c r="Z31" s="152" t="str">
        <f aca="false">IF(AND($C31="Goal",Z$7&gt;=$F31,Z$7&lt;=$F31+$G31-1),2,IF(AND($C31="Milestone",Z$7&gt;=$F31,Z$7&lt;=$F31+$G31-1),1,""))</f>
        <v/>
      </c>
      <c r="AA31" s="152" t="str">
        <f aca="false">IF(AND($C31="Goal",AA$7&gt;=$F31,AA$7&lt;=$F31+$G31-1),2,IF(AND($C31="Milestone",AA$7&gt;=$F31,AA$7&lt;=$F31+$G31-1),1,""))</f>
        <v/>
      </c>
      <c r="AB31" s="152" t="str">
        <f aca="false">IF(AND($C31="Goal",AB$7&gt;=$F31,AB$7&lt;=$F31+$G31-1),2,IF(AND($C31="Milestone",AB$7&gt;=$F31,AB$7&lt;=$F31+$G31-1),1,""))</f>
        <v/>
      </c>
      <c r="AC31" s="152" t="str">
        <f aca="false">IF(AND($C31="Goal",AC$7&gt;=$F31,AC$7&lt;=$F31+$G31-1),2,IF(AND($C31="Milestone",AC$7&gt;=$F31,AC$7&lt;=$F31+$G31-1),1,""))</f>
        <v/>
      </c>
      <c r="AD31" s="152" t="str">
        <f aca="false">IF(AND($C31="Goal",AD$7&gt;=$F31,AD$7&lt;=$F31+$G31-1),2,IF(AND($C31="Milestone",AD$7&gt;=$F31,AD$7&lt;=$F31+$G31-1),1,""))</f>
        <v/>
      </c>
      <c r="AE31" s="152" t="str">
        <f aca="false">IF(AND($C31="Goal",AE$7&gt;=$F31,AE$7&lt;=$F31+$G31-1),2,IF(AND($C31="Milestone",AE$7&gt;=$F31,AE$7&lt;=$F31+$G31-1),1,""))</f>
        <v/>
      </c>
      <c r="AF31" s="152" t="str">
        <f aca="false">IF(AND($C31="Goal",AF$7&gt;=$F31,AF$7&lt;=$F31+$G31-1),2,IF(AND($C31="Milestone",AF$7&gt;=$F31,AF$7&lt;=$F31+$G31-1),1,""))</f>
        <v/>
      </c>
      <c r="AG31" s="152" t="str">
        <f aca="false">IF(AND($C31="Goal",AG$7&gt;=$F31,AG$7&lt;=$F31+$G31-1),2,IF(AND($C31="Milestone",AG$7&gt;=$F31,AG$7&lt;=$F31+$G31-1),1,""))</f>
        <v/>
      </c>
      <c r="AH31" s="152" t="str">
        <f aca="false">IF(AND($C31="Goal",AH$7&gt;=$F31,AH$7&lt;=$F31+$G31-1),2,IF(AND($C31="Milestone",AH$7&gt;=$F31,AH$7&lt;=$F31+$G31-1),1,""))</f>
        <v/>
      </c>
      <c r="AI31" s="152" t="str">
        <f aca="false">IF(AND($C31="Goal",AI$7&gt;=$F31,AI$7&lt;=$F31+$G31-1),2,IF(AND($C31="Milestone",AI$7&gt;=$F31,AI$7&lt;=$F31+$G31-1),1,""))</f>
        <v/>
      </c>
      <c r="AJ31" s="152" t="str">
        <f aca="false">IF(AND($C31="Goal",AJ$7&gt;=$F31,AJ$7&lt;=$F31+$G31-1),2,IF(AND($C31="Milestone",AJ$7&gt;=$F31,AJ$7&lt;=$F31+$G31-1),1,""))</f>
        <v/>
      </c>
      <c r="AK31" s="152" t="str">
        <f aca="false">IF(AND($C31="Goal",AK$7&gt;=$F31,AK$7&lt;=$F31+$G31-1),2,IF(AND($C31="Milestone",AK$7&gt;=$F31,AK$7&lt;=$F31+$G31-1),1,""))</f>
        <v/>
      </c>
      <c r="AL31" s="152" t="str">
        <f aca="false">IF(AND($C31="Goal",AL$7&gt;=$F31,AL$7&lt;=$F31+$G31-1),2,IF(AND($C31="Milestone",AL$7&gt;=$F31,AL$7&lt;=$F31+$G31-1),1,""))</f>
        <v/>
      </c>
      <c r="AM31" s="152" t="str">
        <f aca="false">IF(AND($C31="Goal",AM$7&gt;=$F31,AM$7&lt;=$F31+$G31-1),2,IF(AND($C31="Milestone",AM$7&gt;=$F31,AM$7&lt;=$F31+$G31-1),1,""))</f>
        <v/>
      </c>
      <c r="AN31" s="152" t="str">
        <f aca="false">IF(AND($C31="Goal",AN$7&gt;=$F31,AN$7&lt;=$F31+$G31-1),2,IF(AND($C31="Milestone",AN$7&gt;=$F31,AN$7&lt;=$F31+$G31-1),1,""))</f>
        <v/>
      </c>
      <c r="AO31" s="152" t="str">
        <f aca="false">IF(AND($C31="Goal",AO$7&gt;=$F31,AO$7&lt;=$F31+$G31-1),2,IF(AND($C31="Milestone",AO$7&gt;=$F31,AO$7&lt;=$F31+$G31-1),1,""))</f>
        <v/>
      </c>
      <c r="AP31" s="152" t="str">
        <f aca="false">IF(AND($C31="Goal",AP$7&gt;=$F31,AP$7&lt;=$F31+$G31-1),2,IF(AND($C31="Milestone",AP$7&gt;=$F31,AP$7&lt;=$F31+$G31-1),1,""))</f>
        <v/>
      </c>
      <c r="AQ31" s="152" t="str">
        <f aca="false">IF(AND($C31="Goal",AQ$7&gt;=$F31,AQ$7&lt;=$F31+$G31-1),2,IF(AND($C31="Milestone",AQ$7&gt;=$F31,AQ$7&lt;=$F31+$G31-1),1,""))</f>
        <v/>
      </c>
      <c r="AR31" s="152" t="str">
        <f aca="false">IF(AND($C31="Goal",AR$7&gt;=$F31,AR$7&lt;=$F31+$G31-1),2,IF(AND($C31="Milestone",AR$7&gt;=$F31,AR$7&lt;=$F31+$G31-1),1,""))</f>
        <v/>
      </c>
      <c r="AS31" s="152" t="str">
        <f aca="false">IF(AND($C31="Goal",AS$7&gt;=$F31,AS$7&lt;=$F31+$G31-1),2,IF(AND($C31="Milestone",AS$7&gt;=$F31,AS$7&lt;=$F31+$G31-1),1,""))</f>
        <v/>
      </c>
      <c r="AT31" s="152" t="str">
        <f aca="false">IF(AND($C31="Goal",AT$7&gt;=$F31,AT$7&lt;=$F31+$G31-1),2,IF(AND($C31="Milestone",AT$7&gt;=$F31,AT$7&lt;=$F31+$G31-1),1,""))</f>
        <v/>
      </c>
      <c r="AU31" s="152" t="str">
        <f aca="false">IF(AND($C31="Goal",AU$7&gt;=$F31,AU$7&lt;=$F31+$G31-1),2,IF(AND($C31="Milestone",AU$7&gt;=$F31,AU$7&lt;=$F31+$G31-1),1,""))</f>
        <v/>
      </c>
      <c r="AV31" s="152" t="str">
        <f aca="false">IF(AND($C31="Goal",AV$7&gt;=$F31,AV$7&lt;=$F31+$G31-1),2,IF(AND($C31="Milestone",AV$7&gt;=$F31,AV$7&lt;=$F31+$G31-1),1,""))</f>
        <v/>
      </c>
      <c r="AW31" s="152" t="str">
        <f aca="false">IF(AND($C31="Goal",AW$7&gt;=$F31,AW$7&lt;=$F31+$G31-1),2,IF(AND($C31="Milestone",AW$7&gt;=$F31,AW$7&lt;=$F31+$G31-1),1,""))</f>
        <v/>
      </c>
      <c r="AX31" s="152" t="str">
        <f aca="false">IF(AND($C31="Goal",AX$7&gt;=$F31,AX$7&lt;=$F31+$G31-1),2,IF(AND($C31="Milestone",AX$7&gt;=$F31,AX$7&lt;=$F31+$G31-1),1,""))</f>
        <v/>
      </c>
      <c r="AY31" s="152" t="str">
        <f aca="false">IF(AND($C31="Goal",AY$7&gt;=$F31,AY$7&lt;=$F31+$G31-1),2,IF(AND($C31="Milestone",AY$7&gt;=$F31,AY$7&lt;=$F31+$G31-1),1,""))</f>
        <v/>
      </c>
      <c r="AZ31" s="152" t="str">
        <f aca="false">IF(AND($C31="Goal",AZ$7&gt;=$F31,AZ$7&lt;=$F31+$G31-1),2,IF(AND($C31="Milestone",AZ$7&gt;=$F31,AZ$7&lt;=$F31+$G31-1),1,""))</f>
        <v/>
      </c>
      <c r="BA31" s="152" t="str">
        <f aca="false">IF(AND($C31="Goal",BA$7&gt;=$F31,BA$7&lt;=$F31+$G31-1),2,IF(AND($C31="Milestone",BA$7&gt;=$F31,BA$7&lt;=$F31+$G31-1),1,""))</f>
        <v/>
      </c>
      <c r="BB31" s="152" t="str">
        <f aca="false">IF(AND($C31="Goal",BB$7&gt;=$F31,BB$7&lt;=$F31+$G31-1),2,IF(AND($C31="Milestone",BB$7&gt;=$F31,BB$7&lt;=$F31+$G31-1),1,""))</f>
        <v/>
      </c>
      <c r="BC31" s="152" t="str">
        <f aca="false">IF(AND($C31="Goal",BC$7&gt;=$F31,BC$7&lt;=$F31+$G31-1),2,IF(AND($C31="Milestone",BC$7&gt;=$F31,BC$7&lt;=$F31+$G31-1),1,""))</f>
        <v/>
      </c>
      <c r="BD31" s="152" t="str">
        <f aca="false">IF(AND($C31="Goal",BD$7&gt;=$F31,BD$7&lt;=$F31+$G31-1),2,IF(AND($C31="Milestone",BD$7&gt;=$F31,BD$7&lt;=$F31+$G31-1),1,""))</f>
        <v/>
      </c>
      <c r="BE31" s="152" t="str">
        <f aca="false">IF(AND($C31="Goal",BE$7&gt;=$F31,BE$7&lt;=$F31+$G31-1),2,IF(AND($C31="Milestone",BE$7&gt;=$F31,BE$7&lt;=$F31+$G31-1),1,""))</f>
        <v/>
      </c>
      <c r="BF31" s="152" t="str">
        <f aca="false">IF(AND($C31="Goal",BF$7&gt;=$F31,BF$7&lt;=$F31+$G31-1),2,IF(AND($C31="Milestone",BF$7&gt;=$F31,BF$7&lt;=$F31+$G31-1),1,""))</f>
        <v/>
      </c>
      <c r="BG31" s="152" t="str">
        <f aca="false">IF(AND($C31="Goal",BG$7&gt;=$F31,BG$7&lt;=$F31+$G31-1),2,IF(AND($C31="Milestone",BG$7&gt;=$F31,BG$7&lt;=$F31+$G31-1),1,""))</f>
        <v/>
      </c>
      <c r="BH31" s="152" t="str">
        <f aca="false">IF(AND($C31="Goal",BH$7&gt;=$F31,BH$7&lt;=$F31+$G31-1),2,IF(AND($C31="Milestone",BH$7&gt;=$F31,BH$7&lt;=$F31+$G31-1),1,""))</f>
        <v/>
      </c>
      <c r="BI31" s="152" t="str">
        <f aca="false">IF(AND($C31="Goal",BI$7&gt;=$F31,BI$7&lt;=$F31+$G31-1),2,IF(AND($C31="Milestone",BI$7&gt;=$F31,BI$7&lt;=$F31+$G31-1),1,""))</f>
        <v/>
      </c>
      <c r="BJ31" s="152" t="str">
        <f aca="false">IF(AND($C31="Goal",BJ$7&gt;=$F31,BJ$7&lt;=$F31+$G31-1),2,IF(AND($C31="Milestone",BJ$7&gt;=$F31,BJ$7&lt;=$F31+$G31-1),1,""))</f>
        <v/>
      </c>
      <c r="BK31" s="152" t="str">
        <f aca="false">IF(AND($C31="Goal",BK$7&gt;=$F31,BK$7&lt;=$F31+$G31-1),2,IF(AND($C31="Milestone",BK$7&gt;=$F31,BK$7&lt;=$F31+$G31-1),1,""))</f>
        <v/>
      </c>
      <c r="BL31" s="152" t="str">
        <f aca="false">IF(AND($C31="Goal",BL$7&gt;=$F31,BL$7&lt;=$F31+$G31-1),2,IF(AND($C31="Milestone",BL$7&gt;=$F31,BL$7&lt;=$F31+$G31-1),1,""))</f>
        <v/>
      </c>
      <c r="BM31" s="114"/>
    </row>
    <row r="32" s="25" customFormat="true" ht="39.75" hidden="false" customHeight="true" outlineLevel="0" collapsed="false">
      <c r="A32" s="13"/>
      <c r="B32" s="153" t="s">
        <v>86</v>
      </c>
      <c r="C32" s="146" t="s">
        <v>85</v>
      </c>
      <c r="D32" s="146"/>
      <c r="E32" s="147"/>
      <c r="F32" s="148" t="n">
        <f aca="false">F31+42</f>
        <v>46061</v>
      </c>
      <c r="G32" s="149" t="n">
        <v>1</v>
      </c>
      <c r="H32" s="150"/>
      <c r="I32" s="151" t="str">
        <f aca="false">IF(AND($C32="Goal",I$7&gt;=$F32,I$7&lt;=$F32+$G32-1),2,IF(AND($C32="Milestone",I$7&gt;=$F32,I$7&lt;=$F32+$G32-1),1,""))</f>
        <v/>
      </c>
      <c r="J32" s="152" t="str">
        <f aca="false">IF(AND($C32="Goal",J$7&gt;=$F32,J$7&lt;=$F32+$G32-1),2,IF(AND($C32="Milestone",J$7&gt;=$F32,J$7&lt;=$F32+$G32-1),1,""))</f>
        <v/>
      </c>
      <c r="K32" s="152" t="str">
        <f aca="false">IF(AND($C32="Goal",K$7&gt;=$F32,K$7&lt;=$F32+$G32-1),2,IF(AND($C32="Milestone",K$7&gt;=$F32,K$7&lt;=$F32+$G32-1),1,""))</f>
        <v/>
      </c>
      <c r="L32" s="152" t="str">
        <f aca="false">IF(AND($C32="Goal",L$7&gt;=$F32,L$7&lt;=$F32+$G32-1),2,IF(AND($C32="Milestone",L$7&gt;=$F32,L$7&lt;=$F32+$G32-1),1,""))</f>
        <v/>
      </c>
      <c r="M32" s="152" t="str">
        <f aca="false">IF(AND($C32="Goal",M$7&gt;=$F32,M$7&lt;=$F32+$G32-1),2,IF(AND($C32="Milestone",M$7&gt;=$F32,M$7&lt;=$F32+$G32-1),1,""))</f>
        <v/>
      </c>
      <c r="N32" s="152" t="str">
        <f aca="false">IF(AND($C32="Goal",N$7&gt;=$F32,N$7&lt;=$F32+$G32-1),2,IF(AND($C32="Milestone",N$7&gt;=$F32,N$7&lt;=$F32+$G32-1),1,""))</f>
        <v/>
      </c>
      <c r="O32" s="152" t="str">
        <f aca="false">IF(AND($C32="Goal",O$7&gt;=$F32,O$7&lt;=$F32+$G32-1),2,IF(AND($C32="Milestone",O$7&gt;=$F32,O$7&lt;=$F32+$G32-1),1,""))</f>
        <v/>
      </c>
      <c r="P32" s="152" t="str">
        <f aca="false">IF(AND($C32="Goal",P$7&gt;=$F32,P$7&lt;=$F32+$G32-1),2,IF(AND($C32="Milestone",P$7&gt;=$F32,P$7&lt;=$F32+$G32-1),1,""))</f>
        <v/>
      </c>
      <c r="Q32" s="152" t="str">
        <f aca="false">IF(AND($C32="Goal",Q$7&gt;=$F32,Q$7&lt;=$F32+$G32-1),2,IF(AND($C32="Milestone",Q$7&gt;=$F32,Q$7&lt;=$F32+$G32-1),1,""))</f>
        <v/>
      </c>
      <c r="R32" s="152" t="str">
        <f aca="false">IF(AND($C32="Goal",R$7&gt;=$F32,R$7&lt;=$F32+$G32-1),2,IF(AND($C32="Milestone",R$7&gt;=$F32,R$7&lt;=$F32+$G32-1),1,""))</f>
        <v/>
      </c>
      <c r="S32" s="152" t="str">
        <f aca="false">IF(AND($C32="Goal",S$7&gt;=$F32,S$7&lt;=$F32+$G32-1),2,IF(AND($C32="Milestone",S$7&gt;=$F32,S$7&lt;=$F32+$G32-1),1,""))</f>
        <v/>
      </c>
      <c r="T32" s="152" t="str">
        <f aca="false">IF(AND($C32="Goal",T$7&gt;=$F32,T$7&lt;=$F32+$G32-1),2,IF(AND($C32="Milestone",T$7&gt;=$F32,T$7&lt;=$F32+$G32-1),1,""))</f>
        <v/>
      </c>
      <c r="U32" s="152" t="str">
        <f aca="false">IF(AND($C32="Goal",U$7&gt;=$F32,U$7&lt;=$F32+$G32-1),2,IF(AND($C32="Milestone",U$7&gt;=$F32,U$7&lt;=$F32+$G32-1),1,""))</f>
        <v/>
      </c>
      <c r="V32" s="152" t="str">
        <f aca="false">IF(AND($C32="Goal",V$7&gt;=$F32,V$7&lt;=$F32+$G32-1),2,IF(AND($C32="Milestone",V$7&gt;=$F32,V$7&lt;=$F32+$G32-1),1,""))</f>
        <v/>
      </c>
      <c r="W32" s="152" t="str">
        <f aca="false">IF(AND($C32="Goal",W$7&gt;=$F32,W$7&lt;=$F32+$G32-1),2,IF(AND($C32="Milestone",W$7&gt;=$F32,W$7&lt;=$F32+$G32-1),1,""))</f>
        <v/>
      </c>
      <c r="X32" s="152" t="str">
        <f aca="false">IF(AND($C32="Goal",X$7&gt;=$F32,X$7&lt;=$F32+$G32-1),2,IF(AND($C32="Milestone",X$7&gt;=$F32,X$7&lt;=$F32+$G32-1),1,""))</f>
        <v/>
      </c>
      <c r="Y32" s="152" t="str">
        <f aca="false">IF(AND($C32="Goal",Y$7&gt;=$F32,Y$7&lt;=$F32+$G32-1),2,IF(AND($C32="Milestone",Y$7&gt;=$F32,Y$7&lt;=$F32+$G32-1),1,""))</f>
        <v/>
      </c>
      <c r="Z32" s="152" t="str">
        <f aca="false">IF(AND($C32="Goal",Z$7&gt;=$F32,Z$7&lt;=$F32+$G32-1),2,IF(AND($C32="Milestone",Z$7&gt;=$F32,Z$7&lt;=$F32+$G32-1),1,""))</f>
        <v/>
      </c>
      <c r="AA32" s="152" t="str">
        <f aca="false">IF(AND($C32="Goal",AA$7&gt;=$F32,AA$7&lt;=$F32+$G32-1),2,IF(AND($C32="Milestone",AA$7&gt;=$F32,AA$7&lt;=$F32+$G32-1),1,""))</f>
        <v/>
      </c>
      <c r="AB32" s="152" t="str">
        <f aca="false">IF(AND($C32="Goal",AB$7&gt;=$F32,AB$7&lt;=$F32+$G32-1),2,IF(AND($C32="Milestone",AB$7&gt;=$F32,AB$7&lt;=$F32+$G32-1),1,""))</f>
        <v/>
      </c>
      <c r="AC32" s="152" t="str">
        <f aca="false">IF(AND($C32="Goal",AC$7&gt;=$F32,AC$7&lt;=$F32+$G32-1),2,IF(AND($C32="Milestone",AC$7&gt;=$F32,AC$7&lt;=$F32+$G32-1),1,""))</f>
        <v/>
      </c>
      <c r="AD32" s="152" t="str">
        <f aca="false">IF(AND($C32="Goal",AD$7&gt;=$F32,AD$7&lt;=$F32+$G32-1),2,IF(AND($C32="Milestone",AD$7&gt;=$F32,AD$7&lt;=$F32+$G32-1),1,""))</f>
        <v/>
      </c>
      <c r="AE32" s="152" t="str">
        <f aca="false">IF(AND($C32="Goal",AE$7&gt;=$F32,AE$7&lt;=$F32+$G32-1),2,IF(AND($C32="Milestone",AE$7&gt;=$F32,AE$7&lt;=$F32+$G32-1),1,""))</f>
        <v/>
      </c>
      <c r="AF32" s="152" t="str">
        <f aca="false">IF(AND($C32="Goal",AF$7&gt;=$F32,AF$7&lt;=$F32+$G32-1),2,IF(AND($C32="Milestone",AF$7&gt;=$F32,AF$7&lt;=$F32+$G32-1),1,""))</f>
        <v/>
      </c>
      <c r="AG32" s="152" t="str">
        <f aca="false">IF(AND($C32="Goal",AG$7&gt;=$F32,AG$7&lt;=$F32+$G32-1),2,IF(AND($C32="Milestone",AG$7&gt;=$F32,AG$7&lt;=$F32+$G32-1),1,""))</f>
        <v/>
      </c>
      <c r="AH32" s="152" t="str">
        <f aca="false">IF(AND($C32="Goal",AH$7&gt;=$F32,AH$7&lt;=$F32+$G32-1),2,IF(AND($C32="Milestone",AH$7&gt;=$F32,AH$7&lt;=$F32+$G32-1),1,""))</f>
        <v/>
      </c>
      <c r="AI32" s="152" t="str">
        <f aca="false">IF(AND($C32="Goal",AI$7&gt;=$F32,AI$7&lt;=$F32+$G32-1),2,IF(AND($C32="Milestone",AI$7&gt;=$F32,AI$7&lt;=$F32+$G32-1),1,""))</f>
        <v/>
      </c>
      <c r="AJ32" s="152" t="str">
        <f aca="false">IF(AND($C32="Goal",AJ$7&gt;=$F32,AJ$7&lt;=$F32+$G32-1),2,IF(AND($C32="Milestone",AJ$7&gt;=$F32,AJ$7&lt;=$F32+$G32-1),1,""))</f>
        <v/>
      </c>
      <c r="AK32" s="152" t="str">
        <f aca="false">IF(AND($C32="Goal",AK$7&gt;=$F32,AK$7&lt;=$F32+$G32-1),2,IF(AND($C32="Milestone",AK$7&gt;=$F32,AK$7&lt;=$F32+$G32-1),1,""))</f>
        <v/>
      </c>
      <c r="AL32" s="152" t="str">
        <f aca="false">IF(AND($C32="Goal",AL$7&gt;=$F32,AL$7&lt;=$F32+$G32-1),2,IF(AND($C32="Milestone",AL$7&gt;=$F32,AL$7&lt;=$F32+$G32-1),1,""))</f>
        <v/>
      </c>
      <c r="AM32" s="152" t="str">
        <f aca="false">IF(AND($C32="Goal",AM$7&gt;=$F32,AM$7&lt;=$F32+$G32-1),2,IF(AND($C32="Milestone",AM$7&gt;=$F32,AM$7&lt;=$F32+$G32-1),1,""))</f>
        <v/>
      </c>
      <c r="AN32" s="152" t="str">
        <f aca="false">IF(AND($C32="Goal",AN$7&gt;=$F32,AN$7&lt;=$F32+$G32-1),2,IF(AND($C32="Milestone",AN$7&gt;=$F32,AN$7&lt;=$F32+$G32-1),1,""))</f>
        <v/>
      </c>
      <c r="AO32" s="152" t="str">
        <f aca="false">IF(AND($C32="Goal",AO$7&gt;=$F32,AO$7&lt;=$F32+$G32-1),2,IF(AND($C32="Milestone",AO$7&gt;=$F32,AO$7&lt;=$F32+$G32-1),1,""))</f>
        <v/>
      </c>
      <c r="AP32" s="152" t="str">
        <f aca="false">IF(AND($C32="Goal",AP$7&gt;=$F32,AP$7&lt;=$F32+$G32-1),2,IF(AND($C32="Milestone",AP$7&gt;=$F32,AP$7&lt;=$F32+$G32-1),1,""))</f>
        <v/>
      </c>
      <c r="AQ32" s="152" t="str">
        <f aca="false">IF(AND($C32="Goal",AQ$7&gt;=$F32,AQ$7&lt;=$F32+$G32-1),2,IF(AND($C32="Milestone",AQ$7&gt;=$F32,AQ$7&lt;=$F32+$G32-1),1,""))</f>
        <v/>
      </c>
      <c r="AR32" s="152" t="str">
        <f aca="false">IF(AND($C32="Goal",AR$7&gt;=$F32,AR$7&lt;=$F32+$G32-1),2,IF(AND($C32="Milestone",AR$7&gt;=$F32,AR$7&lt;=$F32+$G32-1),1,""))</f>
        <v/>
      </c>
      <c r="AS32" s="152" t="str">
        <f aca="false">IF(AND($C32="Goal",AS$7&gt;=$F32,AS$7&lt;=$F32+$G32-1),2,IF(AND($C32="Milestone",AS$7&gt;=$F32,AS$7&lt;=$F32+$G32-1),1,""))</f>
        <v/>
      </c>
      <c r="AT32" s="152" t="str">
        <f aca="false">IF(AND($C32="Goal",AT$7&gt;=$F32,AT$7&lt;=$F32+$G32-1),2,IF(AND($C32="Milestone",AT$7&gt;=$F32,AT$7&lt;=$F32+$G32-1),1,""))</f>
        <v/>
      </c>
      <c r="AU32" s="152" t="str">
        <f aca="false">IF(AND($C32="Goal",AU$7&gt;=$F32,AU$7&lt;=$F32+$G32-1),2,IF(AND($C32="Milestone",AU$7&gt;=$F32,AU$7&lt;=$F32+$G32-1),1,""))</f>
        <v/>
      </c>
      <c r="AV32" s="152" t="str">
        <f aca="false">IF(AND($C32="Goal",AV$7&gt;=$F32,AV$7&lt;=$F32+$G32-1),2,IF(AND($C32="Milestone",AV$7&gt;=$F32,AV$7&lt;=$F32+$G32-1),1,""))</f>
        <v/>
      </c>
      <c r="AW32" s="152" t="str">
        <f aca="false">IF(AND($C32="Goal",AW$7&gt;=$F32,AW$7&lt;=$F32+$G32-1),2,IF(AND($C32="Milestone",AW$7&gt;=$F32,AW$7&lt;=$F32+$G32-1),1,""))</f>
        <v/>
      </c>
      <c r="AX32" s="152" t="str">
        <f aca="false">IF(AND($C32="Goal",AX$7&gt;=$F32,AX$7&lt;=$F32+$G32-1),2,IF(AND($C32="Milestone",AX$7&gt;=$F32,AX$7&lt;=$F32+$G32-1),1,""))</f>
        <v/>
      </c>
      <c r="AY32" s="152" t="str">
        <f aca="false">IF(AND($C32="Goal",AY$7&gt;=$F32,AY$7&lt;=$F32+$G32-1),2,IF(AND($C32="Milestone",AY$7&gt;=$F32,AY$7&lt;=$F32+$G32-1),1,""))</f>
        <v/>
      </c>
      <c r="AZ32" s="152" t="str">
        <f aca="false">IF(AND($C32="Goal",AZ$7&gt;=$F32,AZ$7&lt;=$F32+$G32-1),2,IF(AND($C32="Milestone",AZ$7&gt;=$F32,AZ$7&lt;=$F32+$G32-1),1,""))</f>
        <v/>
      </c>
      <c r="BA32" s="152" t="str">
        <f aca="false">IF(AND($C32="Goal",BA$7&gt;=$F32,BA$7&lt;=$F32+$G32-1),2,IF(AND($C32="Milestone",BA$7&gt;=$F32,BA$7&lt;=$F32+$G32-1),1,""))</f>
        <v/>
      </c>
      <c r="BB32" s="152" t="str">
        <f aca="false">IF(AND($C32="Goal",BB$7&gt;=$F32,BB$7&lt;=$F32+$G32-1),2,IF(AND($C32="Milestone",BB$7&gt;=$F32,BB$7&lt;=$F32+$G32-1),1,""))</f>
        <v/>
      </c>
      <c r="BC32" s="152" t="str">
        <f aca="false">IF(AND($C32="Goal",BC$7&gt;=$F32,BC$7&lt;=$F32+$G32-1),2,IF(AND($C32="Milestone",BC$7&gt;=$F32,BC$7&lt;=$F32+$G32-1),1,""))</f>
        <v/>
      </c>
      <c r="BD32" s="152" t="str">
        <f aca="false">IF(AND($C32="Goal",BD$7&gt;=$F32,BD$7&lt;=$F32+$G32-1),2,IF(AND($C32="Milestone",BD$7&gt;=$F32,BD$7&lt;=$F32+$G32-1),1,""))</f>
        <v/>
      </c>
      <c r="BE32" s="152" t="str">
        <f aca="false">IF(AND($C32="Goal",BE$7&gt;=$F32,BE$7&lt;=$F32+$G32-1),2,IF(AND($C32="Milestone",BE$7&gt;=$F32,BE$7&lt;=$F32+$G32-1),1,""))</f>
        <v/>
      </c>
      <c r="BF32" s="152" t="str">
        <f aca="false">IF(AND($C32="Goal",BF$7&gt;=$F32,BF$7&lt;=$F32+$G32-1),2,IF(AND($C32="Milestone",BF$7&gt;=$F32,BF$7&lt;=$F32+$G32-1),1,""))</f>
        <v/>
      </c>
      <c r="BG32" s="152" t="str">
        <f aca="false">IF(AND($C32="Goal",BG$7&gt;=$F32,BG$7&lt;=$F32+$G32-1),2,IF(AND($C32="Milestone",BG$7&gt;=$F32,BG$7&lt;=$F32+$G32-1),1,""))</f>
        <v/>
      </c>
      <c r="BH32" s="152" t="str">
        <f aca="false">IF(AND($C32="Goal",BH$7&gt;=$F32,BH$7&lt;=$F32+$G32-1),2,IF(AND($C32="Milestone",BH$7&gt;=$F32,BH$7&lt;=$F32+$G32-1),1,""))</f>
        <v/>
      </c>
      <c r="BI32" s="152" t="str">
        <f aca="false">IF(AND($C32="Goal",BI$7&gt;=$F32,BI$7&lt;=$F32+$G32-1),2,IF(AND($C32="Milestone",BI$7&gt;=$F32,BI$7&lt;=$F32+$G32-1),1,""))</f>
        <v/>
      </c>
      <c r="BJ32" s="152" t="str">
        <f aca="false">IF(AND($C32="Goal",BJ$7&gt;=$F32,BJ$7&lt;=$F32+$G32-1),2,IF(AND($C32="Milestone",BJ$7&gt;=$F32,BJ$7&lt;=$F32+$G32-1),1,""))</f>
        <v/>
      </c>
      <c r="BK32" s="152" t="str">
        <f aca="false">IF(AND($C32="Goal",BK$7&gt;=$F32,BK$7&lt;=$F32+$G32-1),2,IF(AND($C32="Milestone",BK$7&gt;=$F32,BK$7&lt;=$F32+$G32-1),1,""))</f>
        <v/>
      </c>
      <c r="BL32" s="152" t="str">
        <f aca="false">IF(AND($C32="Goal",BL$7&gt;=$F32,BL$7&lt;=$F32+$G32-1),2,IF(AND($C32="Milestone",BL$7&gt;=$F32,BL$7&lt;=$F32+$G32-1),1,""))</f>
        <v/>
      </c>
      <c r="BM32" s="114"/>
    </row>
    <row r="33" s="25" customFormat="true" ht="39.75" hidden="false" customHeight="true" outlineLevel="0" collapsed="false">
      <c r="A33" s="13"/>
      <c r="B33" s="153" t="s">
        <v>87</v>
      </c>
      <c r="C33" s="146"/>
      <c r="D33" s="146"/>
      <c r="E33" s="147"/>
      <c r="F33" s="148"/>
      <c r="G33" s="149"/>
      <c r="H33" s="150"/>
      <c r="I33" s="151" t="str">
        <f aca="false">IF(AND($C33="Goal",I$7&gt;=$F33,I$7&lt;=$F33+$G33-1),2,IF(AND($C33="Milestone",I$7&gt;=$F33,I$7&lt;=$F33+$G33-1),1,""))</f>
        <v/>
      </c>
      <c r="J33" s="152" t="str">
        <f aca="false">IF(AND($C33="Goal",J$7&gt;=$F33,J$7&lt;=$F33+$G33-1),2,IF(AND($C33="Milestone",J$7&gt;=$F33,J$7&lt;=$F33+$G33-1),1,""))</f>
        <v/>
      </c>
      <c r="K33" s="152" t="str">
        <f aca="false">IF(AND($C33="Goal",K$7&gt;=$F33,K$7&lt;=$F33+$G33-1),2,IF(AND($C33="Milestone",K$7&gt;=$F33,K$7&lt;=$F33+$G33-1),1,""))</f>
        <v/>
      </c>
      <c r="L33" s="152" t="str">
        <f aca="false">IF(AND($C33="Goal",L$7&gt;=$F33,L$7&lt;=$F33+$G33-1),2,IF(AND($C33="Milestone",L$7&gt;=$F33,L$7&lt;=$F33+$G33-1),1,""))</f>
        <v/>
      </c>
      <c r="M33" s="152" t="str">
        <f aca="false">IF(AND($C33="Goal",M$7&gt;=$F33,M$7&lt;=$F33+$G33-1),2,IF(AND($C33="Milestone",M$7&gt;=$F33,M$7&lt;=$F33+$G33-1),1,""))</f>
        <v/>
      </c>
      <c r="N33" s="152" t="str">
        <f aca="false">IF(AND($C33="Goal",N$7&gt;=$F33,N$7&lt;=$F33+$G33-1),2,IF(AND($C33="Milestone",N$7&gt;=$F33,N$7&lt;=$F33+$G33-1),1,""))</f>
        <v/>
      </c>
      <c r="O33" s="152" t="str">
        <f aca="false">IF(AND($C33="Goal",O$7&gt;=$F33,O$7&lt;=$F33+$G33-1),2,IF(AND($C33="Milestone",O$7&gt;=$F33,O$7&lt;=$F33+$G33-1),1,""))</f>
        <v/>
      </c>
      <c r="P33" s="152" t="str">
        <f aca="false">IF(AND($C33="Goal",P$7&gt;=$F33,P$7&lt;=$F33+$G33-1),2,IF(AND($C33="Milestone",P$7&gt;=$F33,P$7&lt;=$F33+$G33-1),1,""))</f>
        <v/>
      </c>
      <c r="Q33" s="152" t="str">
        <f aca="false">IF(AND($C33="Goal",Q$7&gt;=$F33,Q$7&lt;=$F33+$G33-1),2,IF(AND($C33="Milestone",Q$7&gt;=$F33,Q$7&lt;=$F33+$G33-1),1,""))</f>
        <v/>
      </c>
      <c r="R33" s="152" t="str">
        <f aca="false">IF(AND($C33="Goal",R$7&gt;=$F33,R$7&lt;=$F33+$G33-1),2,IF(AND($C33="Milestone",R$7&gt;=$F33,R$7&lt;=$F33+$G33-1),1,""))</f>
        <v/>
      </c>
      <c r="S33" s="152" t="str">
        <f aca="false">IF(AND($C33="Goal",S$7&gt;=$F33,S$7&lt;=$F33+$G33-1),2,IF(AND($C33="Milestone",S$7&gt;=$F33,S$7&lt;=$F33+$G33-1),1,""))</f>
        <v/>
      </c>
      <c r="T33" s="152" t="str">
        <f aca="false">IF(AND($C33="Goal",T$7&gt;=$F33,T$7&lt;=$F33+$G33-1),2,IF(AND($C33="Milestone",T$7&gt;=$F33,T$7&lt;=$F33+$G33-1),1,""))</f>
        <v/>
      </c>
      <c r="U33" s="152" t="str">
        <f aca="false">IF(AND($C33="Goal",U$7&gt;=$F33,U$7&lt;=$F33+$G33-1),2,IF(AND($C33="Milestone",U$7&gt;=$F33,U$7&lt;=$F33+$G33-1),1,""))</f>
        <v/>
      </c>
      <c r="V33" s="152" t="str">
        <f aca="false">IF(AND($C33="Goal",V$7&gt;=$F33,V$7&lt;=$F33+$G33-1),2,IF(AND($C33="Milestone",V$7&gt;=$F33,V$7&lt;=$F33+$G33-1),1,""))</f>
        <v/>
      </c>
      <c r="W33" s="152" t="str">
        <f aca="false">IF(AND($C33="Goal",W$7&gt;=$F33,W$7&lt;=$F33+$G33-1),2,IF(AND($C33="Milestone",W$7&gt;=$F33,W$7&lt;=$F33+$G33-1),1,""))</f>
        <v/>
      </c>
      <c r="X33" s="152" t="str">
        <f aca="false">IF(AND($C33="Goal",X$7&gt;=$F33,X$7&lt;=$F33+$G33-1),2,IF(AND($C33="Milestone",X$7&gt;=$F33,X$7&lt;=$F33+$G33-1),1,""))</f>
        <v/>
      </c>
      <c r="Y33" s="152" t="str">
        <f aca="false">IF(AND($C33="Goal",Y$7&gt;=$F33,Y$7&lt;=$F33+$G33-1),2,IF(AND($C33="Milestone",Y$7&gt;=$F33,Y$7&lt;=$F33+$G33-1),1,""))</f>
        <v/>
      </c>
      <c r="Z33" s="152" t="str">
        <f aca="false">IF(AND($C33="Goal",Z$7&gt;=$F33,Z$7&lt;=$F33+$G33-1),2,IF(AND($C33="Milestone",Z$7&gt;=$F33,Z$7&lt;=$F33+$G33-1),1,""))</f>
        <v/>
      </c>
      <c r="AA33" s="152" t="str">
        <f aca="false">IF(AND($C33="Goal",AA$7&gt;=$F33,AA$7&lt;=$F33+$G33-1),2,IF(AND($C33="Milestone",AA$7&gt;=$F33,AA$7&lt;=$F33+$G33-1),1,""))</f>
        <v/>
      </c>
      <c r="AB33" s="152" t="str">
        <f aca="false">IF(AND($C33="Goal",AB$7&gt;=$F33,AB$7&lt;=$F33+$G33-1),2,IF(AND($C33="Milestone",AB$7&gt;=$F33,AB$7&lt;=$F33+$G33-1),1,""))</f>
        <v/>
      </c>
      <c r="AC33" s="152" t="str">
        <f aca="false">IF(AND($C33="Goal",AC$7&gt;=$F33,AC$7&lt;=$F33+$G33-1),2,IF(AND($C33="Milestone",AC$7&gt;=$F33,AC$7&lt;=$F33+$G33-1),1,""))</f>
        <v/>
      </c>
      <c r="AD33" s="152" t="str">
        <f aca="false">IF(AND($C33="Goal",AD$7&gt;=$F33,AD$7&lt;=$F33+$G33-1),2,IF(AND($C33="Milestone",AD$7&gt;=$F33,AD$7&lt;=$F33+$G33-1),1,""))</f>
        <v/>
      </c>
      <c r="AE33" s="152" t="str">
        <f aca="false">IF(AND($C33="Goal",AE$7&gt;=$F33,AE$7&lt;=$F33+$G33-1),2,IF(AND($C33="Milestone",AE$7&gt;=$F33,AE$7&lt;=$F33+$G33-1),1,""))</f>
        <v/>
      </c>
      <c r="AF33" s="152" t="str">
        <f aca="false">IF(AND($C33="Goal",AF$7&gt;=$F33,AF$7&lt;=$F33+$G33-1),2,IF(AND($C33="Milestone",AF$7&gt;=$F33,AF$7&lt;=$F33+$G33-1),1,""))</f>
        <v/>
      </c>
      <c r="AG33" s="152" t="str">
        <f aca="false">IF(AND($C33="Goal",AG$7&gt;=$F33,AG$7&lt;=$F33+$G33-1),2,IF(AND($C33="Milestone",AG$7&gt;=$F33,AG$7&lt;=$F33+$G33-1),1,""))</f>
        <v/>
      </c>
      <c r="AH33" s="152" t="str">
        <f aca="false">IF(AND($C33="Goal",AH$7&gt;=$F33,AH$7&lt;=$F33+$G33-1),2,IF(AND($C33="Milestone",AH$7&gt;=$F33,AH$7&lt;=$F33+$G33-1),1,""))</f>
        <v/>
      </c>
      <c r="AI33" s="152" t="str">
        <f aca="false">IF(AND($C33="Goal",AI$7&gt;=$F33,AI$7&lt;=$F33+$G33-1),2,IF(AND($C33="Milestone",AI$7&gt;=$F33,AI$7&lt;=$F33+$G33-1),1,""))</f>
        <v/>
      </c>
      <c r="AJ33" s="152" t="str">
        <f aca="false">IF(AND($C33="Goal",AJ$7&gt;=$F33,AJ$7&lt;=$F33+$G33-1),2,IF(AND($C33="Milestone",AJ$7&gt;=$F33,AJ$7&lt;=$F33+$G33-1),1,""))</f>
        <v/>
      </c>
      <c r="AK33" s="152" t="str">
        <f aca="false">IF(AND($C33="Goal",AK$7&gt;=$F33,AK$7&lt;=$F33+$G33-1),2,IF(AND($C33="Milestone",AK$7&gt;=$F33,AK$7&lt;=$F33+$G33-1),1,""))</f>
        <v/>
      </c>
      <c r="AL33" s="152" t="str">
        <f aca="false">IF(AND($C33="Goal",AL$7&gt;=$F33,AL$7&lt;=$F33+$G33-1),2,IF(AND($C33="Milestone",AL$7&gt;=$F33,AL$7&lt;=$F33+$G33-1),1,""))</f>
        <v/>
      </c>
      <c r="AM33" s="152" t="str">
        <f aca="false">IF(AND($C33="Goal",AM$7&gt;=$F33,AM$7&lt;=$F33+$G33-1),2,IF(AND($C33="Milestone",AM$7&gt;=$F33,AM$7&lt;=$F33+$G33-1),1,""))</f>
        <v/>
      </c>
      <c r="AN33" s="152" t="str">
        <f aca="false">IF(AND($C33="Goal",AN$7&gt;=$F33,AN$7&lt;=$F33+$G33-1),2,IF(AND($C33="Milestone",AN$7&gt;=$F33,AN$7&lt;=$F33+$G33-1),1,""))</f>
        <v/>
      </c>
      <c r="AO33" s="152" t="str">
        <f aca="false">IF(AND($C33="Goal",AO$7&gt;=$F33,AO$7&lt;=$F33+$G33-1),2,IF(AND($C33="Milestone",AO$7&gt;=$F33,AO$7&lt;=$F33+$G33-1),1,""))</f>
        <v/>
      </c>
      <c r="AP33" s="152" t="str">
        <f aca="false">IF(AND($C33="Goal",AP$7&gt;=$F33,AP$7&lt;=$F33+$G33-1),2,IF(AND($C33="Milestone",AP$7&gt;=$F33,AP$7&lt;=$F33+$G33-1),1,""))</f>
        <v/>
      </c>
      <c r="AQ33" s="152" t="str">
        <f aca="false">IF(AND($C33="Goal",AQ$7&gt;=$F33,AQ$7&lt;=$F33+$G33-1),2,IF(AND($C33="Milestone",AQ$7&gt;=$F33,AQ$7&lt;=$F33+$G33-1),1,""))</f>
        <v/>
      </c>
      <c r="AR33" s="152" t="str">
        <f aca="false">IF(AND($C33="Goal",AR$7&gt;=$F33,AR$7&lt;=$F33+$G33-1),2,IF(AND($C33="Milestone",AR$7&gt;=$F33,AR$7&lt;=$F33+$G33-1),1,""))</f>
        <v/>
      </c>
      <c r="AS33" s="152" t="str">
        <f aca="false">IF(AND($C33="Goal",AS$7&gt;=$F33,AS$7&lt;=$F33+$G33-1),2,IF(AND($C33="Milestone",AS$7&gt;=$F33,AS$7&lt;=$F33+$G33-1),1,""))</f>
        <v/>
      </c>
      <c r="AT33" s="152" t="str">
        <f aca="false">IF(AND($C33="Goal",AT$7&gt;=$F33,AT$7&lt;=$F33+$G33-1),2,IF(AND($C33="Milestone",AT$7&gt;=$F33,AT$7&lt;=$F33+$G33-1),1,""))</f>
        <v/>
      </c>
      <c r="AU33" s="152" t="str">
        <f aca="false">IF(AND($C33="Goal",AU$7&gt;=$F33,AU$7&lt;=$F33+$G33-1),2,IF(AND($C33="Milestone",AU$7&gt;=$F33,AU$7&lt;=$F33+$G33-1),1,""))</f>
        <v/>
      </c>
      <c r="AV33" s="152" t="str">
        <f aca="false">IF(AND($C33="Goal",AV$7&gt;=$F33,AV$7&lt;=$F33+$G33-1),2,IF(AND($C33="Milestone",AV$7&gt;=$F33,AV$7&lt;=$F33+$G33-1),1,""))</f>
        <v/>
      </c>
      <c r="AW33" s="152" t="str">
        <f aca="false">IF(AND($C33="Goal",AW$7&gt;=$F33,AW$7&lt;=$F33+$G33-1),2,IF(AND($C33="Milestone",AW$7&gt;=$F33,AW$7&lt;=$F33+$G33-1),1,""))</f>
        <v/>
      </c>
      <c r="AX33" s="152" t="str">
        <f aca="false">IF(AND($C33="Goal",AX$7&gt;=$F33,AX$7&lt;=$F33+$G33-1),2,IF(AND($C33="Milestone",AX$7&gt;=$F33,AX$7&lt;=$F33+$G33-1),1,""))</f>
        <v/>
      </c>
      <c r="AY33" s="152" t="str">
        <f aca="false">IF(AND($C33="Goal",AY$7&gt;=$F33,AY$7&lt;=$F33+$G33-1),2,IF(AND($C33="Milestone",AY$7&gt;=$F33,AY$7&lt;=$F33+$G33-1),1,""))</f>
        <v/>
      </c>
      <c r="AZ33" s="152" t="str">
        <f aca="false">IF(AND($C33="Goal",AZ$7&gt;=$F33,AZ$7&lt;=$F33+$G33-1),2,IF(AND($C33="Milestone",AZ$7&gt;=$F33,AZ$7&lt;=$F33+$G33-1),1,""))</f>
        <v/>
      </c>
      <c r="BA33" s="152" t="str">
        <f aca="false">IF(AND($C33="Goal",BA$7&gt;=$F33,BA$7&lt;=$F33+$G33-1),2,IF(AND($C33="Milestone",BA$7&gt;=$F33,BA$7&lt;=$F33+$G33-1),1,""))</f>
        <v/>
      </c>
      <c r="BB33" s="152" t="str">
        <f aca="false">IF(AND($C33="Goal",BB$7&gt;=$F33,BB$7&lt;=$F33+$G33-1),2,IF(AND($C33="Milestone",BB$7&gt;=$F33,BB$7&lt;=$F33+$G33-1),1,""))</f>
        <v/>
      </c>
      <c r="BC33" s="152" t="str">
        <f aca="false">IF(AND($C33="Goal",BC$7&gt;=$F33,BC$7&lt;=$F33+$G33-1),2,IF(AND($C33="Milestone",BC$7&gt;=$F33,BC$7&lt;=$F33+$G33-1),1,""))</f>
        <v/>
      </c>
      <c r="BD33" s="152" t="str">
        <f aca="false">IF(AND($C33="Goal",BD$7&gt;=$F33,BD$7&lt;=$F33+$G33-1),2,IF(AND($C33="Milestone",BD$7&gt;=$F33,BD$7&lt;=$F33+$G33-1),1,""))</f>
        <v/>
      </c>
      <c r="BE33" s="152" t="str">
        <f aca="false">IF(AND($C33="Goal",BE$7&gt;=$F33,BE$7&lt;=$F33+$G33-1),2,IF(AND($C33="Milestone",BE$7&gt;=$F33,BE$7&lt;=$F33+$G33-1),1,""))</f>
        <v/>
      </c>
      <c r="BF33" s="152" t="str">
        <f aca="false">IF(AND($C33="Goal",BF$7&gt;=$F33,BF$7&lt;=$F33+$G33-1),2,IF(AND($C33="Milestone",BF$7&gt;=$F33,BF$7&lt;=$F33+$G33-1),1,""))</f>
        <v/>
      </c>
      <c r="BG33" s="152" t="str">
        <f aca="false">IF(AND($C33="Goal",BG$7&gt;=$F33,BG$7&lt;=$F33+$G33-1),2,IF(AND($C33="Milestone",BG$7&gt;=$F33,BG$7&lt;=$F33+$G33-1),1,""))</f>
        <v/>
      </c>
      <c r="BH33" s="152" t="str">
        <f aca="false">IF(AND($C33="Goal",BH$7&gt;=$F33,BH$7&lt;=$F33+$G33-1),2,IF(AND($C33="Milestone",BH$7&gt;=$F33,BH$7&lt;=$F33+$G33-1),1,""))</f>
        <v/>
      </c>
      <c r="BI33" s="152" t="str">
        <f aca="false">IF(AND($C33="Goal",BI$7&gt;=$F33,BI$7&lt;=$F33+$G33-1),2,IF(AND($C33="Milestone",BI$7&gt;=$F33,BI$7&lt;=$F33+$G33-1),1,""))</f>
        <v/>
      </c>
      <c r="BJ33" s="152" t="str">
        <f aca="false">IF(AND($C33="Goal",BJ$7&gt;=$F33,BJ$7&lt;=$F33+$G33-1),2,IF(AND($C33="Milestone",BJ$7&gt;=$F33,BJ$7&lt;=$F33+$G33-1),1,""))</f>
        <v/>
      </c>
      <c r="BK33" s="152" t="str">
        <f aca="false">IF(AND($C33="Goal",BK$7&gt;=$F33,BK$7&lt;=$F33+$G33-1),2,IF(AND($C33="Milestone",BK$7&gt;=$F33,BK$7&lt;=$F33+$G33-1),1,""))</f>
        <v/>
      </c>
      <c r="BL33" s="152" t="str">
        <f aca="false">IF(AND($C33="Goal",BL$7&gt;=$F33,BL$7&lt;=$F33+$G33-1),2,IF(AND($C33="Milestone",BL$7&gt;=$F33,BL$7&lt;=$F33+$G33-1),1,""))</f>
        <v/>
      </c>
      <c r="BM33" s="114"/>
    </row>
    <row r="34" s="25" customFormat="true" ht="39.75" hidden="false" customHeight="true" outlineLevel="0" collapsed="false">
      <c r="A34" s="13"/>
      <c r="B34" s="153" t="s">
        <v>88</v>
      </c>
      <c r="C34" s="146"/>
      <c r="D34" s="146"/>
      <c r="E34" s="147"/>
      <c r="F34" s="148"/>
      <c r="G34" s="149"/>
      <c r="H34" s="150"/>
      <c r="I34" s="151" t="str">
        <f aca="false">IF(AND($C34="Goal",I$7&gt;=$F34,I$7&lt;=$F34+$G34-1),2,IF(AND($C34="Milestone",I$7&gt;=$F34,I$7&lt;=$F34+$G34-1),1,""))</f>
        <v/>
      </c>
      <c r="J34" s="152" t="str">
        <f aca="false">IF(AND($C34="Goal",J$7&gt;=$F34,J$7&lt;=$F34+$G34-1),2,IF(AND($C34="Milestone",J$7&gt;=$F34,J$7&lt;=$F34+$G34-1),1,""))</f>
        <v/>
      </c>
      <c r="K34" s="152" t="str">
        <f aca="false">IF(AND($C34="Goal",K$7&gt;=$F34,K$7&lt;=$F34+$G34-1),2,IF(AND($C34="Milestone",K$7&gt;=$F34,K$7&lt;=$F34+$G34-1),1,""))</f>
        <v/>
      </c>
      <c r="L34" s="152" t="str">
        <f aca="false">IF(AND($C34="Goal",L$7&gt;=$F34,L$7&lt;=$F34+$G34-1),2,IF(AND($C34="Milestone",L$7&gt;=$F34,L$7&lt;=$F34+$G34-1),1,""))</f>
        <v/>
      </c>
      <c r="M34" s="152" t="str">
        <f aca="false">IF(AND($C34="Goal",M$7&gt;=$F34,M$7&lt;=$F34+$G34-1),2,IF(AND($C34="Milestone",M$7&gt;=$F34,M$7&lt;=$F34+$G34-1),1,""))</f>
        <v/>
      </c>
      <c r="N34" s="152" t="str">
        <f aca="false">IF(AND($C34="Goal",N$7&gt;=$F34,N$7&lt;=$F34+$G34-1),2,IF(AND($C34="Milestone",N$7&gt;=$F34,N$7&lt;=$F34+$G34-1),1,""))</f>
        <v/>
      </c>
      <c r="O34" s="152" t="str">
        <f aca="false">IF(AND($C34="Goal",O$7&gt;=$F34,O$7&lt;=$F34+$G34-1),2,IF(AND($C34="Milestone",O$7&gt;=$F34,O$7&lt;=$F34+$G34-1),1,""))</f>
        <v/>
      </c>
      <c r="P34" s="152" t="str">
        <f aca="false">IF(AND($C34="Goal",P$7&gt;=$F34,P$7&lt;=$F34+$G34-1),2,IF(AND($C34="Milestone",P$7&gt;=$F34,P$7&lt;=$F34+$G34-1),1,""))</f>
        <v/>
      </c>
      <c r="Q34" s="152" t="str">
        <f aca="false">IF(AND($C34="Goal",Q$7&gt;=$F34,Q$7&lt;=$F34+$G34-1),2,IF(AND($C34="Milestone",Q$7&gt;=$F34,Q$7&lt;=$F34+$G34-1),1,""))</f>
        <v/>
      </c>
      <c r="R34" s="152" t="str">
        <f aca="false">IF(AND($C34="Goal",R$7&gt;=$F34,R$7&lt;=$F34+$G34-1),2,IF(AND($C34="Milestone",R$7&gt;=$F34,R$7&lt;=$F34+$G34-1),1,""))</f>
        <v/>
      </c>
      <c r="S34" s="152" t="str">
        <f aca="false">IF(AND($C34="Goal",S$7&gt;=$F34,S$7&lt;=$F34+$G34-1),2,IF(AND($C34="Milestone",S$7&gt;=$F34,S$7&lt;=$F34+$G34-1),1,""))</f>
        <v/>
      </c>
      <c r="T34" s="152" t="str">
        <f aca="false">IF(AND($C34="Goal",T$7&gt;=$F34,T$7&lt;=$F34+$G34-1),2,IF(AND($C34="Milestone",T$7&gt;=$F34,T$7&lt;=$F34+$G34-1),1,""))</f>
        <v/>
      </c>
      <c r="U34" s="152" t="str">
        <f aca="false">IF(AND($C34="Goal",U$7&gt;=$F34,U$7&lt;=$F34+$G34-1),2,IF(AND($C34="Milestone",U$7&gt;=$F34,U$7&lt;=$F34+$G34-1),1,""))</f>
        <v/>
      </c>
      <c r="V34" s="152" t="str">
        <f aca="false">IF(AND($C34="Goal",V$7&gt;=$F34,V$7&lt;=$F34+$G34-1),2,IF(AND($C34="Milestone",V$7&gt;=$F34,V$7&lt;=$F34+$G34-1),1,""))</f>
        <v/>
      </c>
      <c r="W34" s="152" t="str">
        <f aca="false">IF(AND($C34="Goal",W$7&gt;=$F34,W$7&lt;=$F34+$G34-1),2,IF(AND($C34="Milestone",W$7&gt;=$F34,W$7&lt;=$F34+$G34-1),1,""))</f>
        <v/>
      </c>
      <c r="X34" s="152" t="str">
        <f aca="false">IF(AND($C34="Goal",X$7&gt;=$F34,X$7&lt;=$F34+$G34-1),2,IF(AND($C34="Milestone",X$7&gt;=$F34,X$7&lt;=$F34+$G34-1),1,""))</f>
        <v/>
      </c>
      <c r="Y34" s="152" t="str">
        <f aca="false">IF(AND($C34="Goal",Y$7&gt;=$F34,Y$7&lt;=$F34+$G34-1),2,IF(AND($C34="Milestone",Y$7&gt;=$F34,Y$7&lt;=$F34+$G34-1),1,""))</f>
        <v/>
      </c>
      <c r="Z34" s="152" t="str">
        <f aca="false">IF(AND($C34="Goal",Z$7&gt;=$F34,Z$7&lt;=$F34+$G34-1),2,IF(AND($C34="Milestone",Z$7&gt;=$F34,Z$7&lt;=$F34+$G34-1),1,""))</f>
        <v/>
      </c>
      <c r="AA34" s="152" t="str">
        <f aca="false">IF(AND($C34="Goal",AA$7&gt;=$F34,AA$7&lt;=$F34+$G34-1),2,IF(AND($C34="Milestone",AA$7&gt;=$F34,AA$7&lt;=$F34+$G34-1),1,""))</f>
        <v/>
      </c>
      <c r="AB34" s="152" t="str">
        <f aca="false">IF(AND($C34="Goal",AB$7&gt;=$F34,AB$7&lt;=$F34+$G34-1),2,IF(AND($C34="Milestone",AB$7&gt;=$F34,AB$7&lt;=$F34+$G34-1),1,""))</f>
        <v/>
      </c>
      <c r="AC34" s="152" t="str">
        <f aca="false">IF(AND($C34="Goal",AC$7&gt;=$F34,AC$7&lt;=$F34+$G34-1),2,IF(AND($C34="Milestone",AC$7&gt;=$F34,AC$7&lt;=$F34+$G34-1),1,""))</f>
        <v/>
      </c>
      <c r="AD34" s="152" t="str">
        <f aca="false">IF(AND($C34="Goal",AD$7&gt;=$F34,AD$7&lt;=$F34+$G34-1),2,IF(AND($C34="Milestone",AD$7&gt;=$F34,AD$7&lt;=$F34+$G34-1),1,""))</f>
        <v/>
      </c>
      <c r="AE34" s="152" t="str">
        <f aca="false">IF(AND($C34="Goal",AE$7&gt;=$F34,AE$7&lt;=$F34+$G34-1),2,IF(AND($C34="Milestone",AE$7&gt;=$F34,AE$7&lt;=$F34+$G34-1),1,""))</f>
        <v/>
      </c>
      <c r="AF34" s="152" t="str">
        <f aca="false">IF(AND($C34="Goal",AF$7&gt;=$F34,AF$7&lt;=$F34+$G34-1),2,IF(AND($C34="Milestone",AF$7&gt;=$F34,AF$7&lt;=$F34+$G34-1),1,""))</f>
        <v/>
      </c>
      <c r="AG34" s="152" t="str">
        <f aca="false">IF(AND($C34="Goal",AG$7&gt;=$F34,AG$7&lt;=$F34+$G34-1),2,IF(AND($C34="Milestone",AG$7&gt;=$F34,AG$7&lt;=$F34+$G34-1),1,""))</f>
        <v/>
      </c>
      <c r="AH34" s="152" t="str">
        <f aca="false">IF(AND($C34="Goal",AH$7&gt;=$F34,AH$7&lt;=$F34+$G34-1),2,IF(AND($C34="Milestone",AH$7&gt;=$F34,AH$7&lt;=$F34+$G34-1),1,""))</f>
        <v/>
      </c>
      <c r="AI34" s="152" t="str">
        <f aca="false">IF(AND($C34="Goal",AI$7&gt;=$F34,AI$7&lt;=$F34+$G34-1),2,IF(AND($C34="Milestone",AI$7&gt;=$F34,AI$7&lt;=$F34+$G34-1),1,""))</f>
        <v/>
      </c>
      <c r="AJ34" s="152" t="str">
        <f aca="false">IF(AND($C34="Goal",AJ$7&gt;=$F34,AJ$7&lt;=$F34+$G34-1),2,IF(AND($C34="Milestone",AJ$7&gt;=$F34,AJ$7&lt;=$F34+$G34-1),1,""))</f>
        <v/>
      </c>
      <c r="AK34" s="152" t="str">
        <f aca="false">IF(AND($C34="Goal",AK$7&gt;=$F34,AK$7&lt;=$F34+$G34-1),2,IF(AND($C34="Milestone",AK$7&gt;=$F34,AK$7&lt;=$F34+$G34-1),1,""))</f>
        <v/>
      </c>
      <c r="AL34" s="152" t="str">
        <f aca="false">IF(AND($C34="Goal",AL$7&gt;=$F34,AL$7&lt;=$F34+$G34-1),2,IF(AND($C34="Milestone",AL$7&gt;=$F34,AL$7&lt;=$F34+$G34-1),1,""))</f>
        <v/>
      </c>
      <c r="AM34" s="152" t="str">
        <f aca="false">IF(AND($C34="Goal",AM$7&gt;=$F34,AM$7&lt;=$F34+$G34-1),2,IF(AND($C34="Milestone",AM$7&gt;=$F34,AM$7&lt;=$F34+$G34-1),1,""))</f>
        <v/>
      </c>
      <c r="AN34" s="152" t="str">
        <f aca="false">IF(AND($C34="Goal",AN$7&gt;=$F34,AN$7&lt;=$F34+$G34-1),2,IF(AND($C34="Milestone",AN$7&gt;=$F34,AN$7&lt;=$F34+$G34-1),1,""))</f>
        <v/>
      </c>
      <c r="AO34" s="152" t="str">
        <f aca="false">IF(AND($C34="Goal",AO$7&gt;=$F34,AO$7&lt;=$F34+$G34-1),2,IF(AND($C34="Milestone",AO$7&gt;=$F34,AO$7&lt;=$F34+$G34-1),1,""))</f>
        <v/>
      </c>
      <c r="AP34" s="152" t="str">
        <f aca="false">IF(AND($C34="Goal",AP$7&gt;=$F34,AP$7&lt;=$F34+$G34-1),2,IF(AND($C34="Milestone",AP$7&gt;=$F34,AP$7&lt;=$F34+$G34-1),1,""))</f>
        <v/>
      </c>
      <c r="AQ34" s="152" t="str">
        <f aca="false">IF(AND($C34="Goal",AQ$7&gt;=$F34,AQ$7&lt;=$F34+$G34-1),2,IF(AND($C34="Milestone",AQ$7&gt;=$F34,AQ$7&lt;=$F34+$G34-1),1,""))</f>
        <v/>
      </c>
      <c r="AR34" s="152" t="str">
        <f aca="false">IF(AND($C34="Goal",AR$7&gt;=$F34,AR$7&lt;=$F34+$G34-1),2,IF(AND($C34="Milestone",AR$7&gt;=$F34,AR$7&lt;=$F34+$G34-1),1,""))</f>
        <v/>
      </c>
      <c r="AS34" s="152" t="str">
        <f aca="false">IF(AND($C34="Goal",AS$7&gt;=$F34,AS$7&lt;=$F34+$G34-1),2,IF(AND($C34="Milestone",AS$7&gt;=$F34,AS$7&lt;=$F34+$G34-1),1,""))</f>
        <v/>
      </c>
      <c r="AT34" s="152" t="str">
        <f aca="false">IF(AND($C34="Goal",AT$7&gt;=$F34,AT$7&lt;=$F34+$G34-1),2,IF(AND($C34="Milestone",AT$7&gt;=$F34,AT$7&lt;=$F34+$G34-1),1,""))</f>
        <v/>
      </c>
      <c r="AU34" s="152" t="str">
        <f aca="false">IF(AND($C34="Goal",AU$7&gt;=$F34,AU$7&lt;=$F34+$G34-1),2,IF(AND($C34="Milestone",AU$7&gt;=$F34,AU$7&lt;=$F34+$G34-1),1,""))</f>
        <v/>
      </c>
      <c r="AV34" s="152" t="str">
        <f aca="false">IF(AND($C34="Goal",AV$7&gt;=$F34,AV$7&lt;=$F34+$G34-1),2,IF(AND($C34="Milestone",AV$7&gt;=$F34,AV$7&lt;=$F34+$G34-1),1,""))</f>
        <v/>
      </c>
      <c r="AW34" s="152" t="str">
        <f aca="false">IF(AND($C34="Goal",AW$7&gt;=$F34,AW$7&lt;=$F34+$G34-1),2,IF(AND($C34="Milestone",AW$7&gt;=$F34,AW$7&lt;=$F34+$G34-1),1,""))</f>
        <v/>
      </c>
      <c r="AX34" s="152" t="str">
        <f aca="false">IF(AND($C34="Goal",AX$7&gt;=$F34,AX$7&lt;=$F34+$G34-1),2,IF(AND($C34="Milestone",AX$7&gt;=$F34,AX$7&lt;=$F34+$G34-1),1,""))</f>
        <v/>
      </c>
      <c r="AY34" s="152" t="str">
        <f aca="false">IF(AND($C34="Goal",AY$7&gt;=$F34,AY$7&lt;=$F34+$G34-1),2,IF(AND($C34="Milestone",AY$7&gt;=$F34,AY$7&lt;=$F34+$G34-1),1,""))</f>
        <v/>
      </c>
      <c r="AZ34" s="152" t="str">
        <f aca="false">IF(AND($C34="Goal",AZ$7&gt;=$F34,AZ$7&lt;=$F34+$G34-1),2,IF(AND($C34="Milestone",AZ$7&gt;=$F34,AZ$7&lt;=$F34+$G34-1),1,""))</f>
        <v/>
      </c>
      <c r="BA34" s="152" t="str">
        <f aca="false">IF(AND($C34="Goal",BA$7&gt;=$F34,BA$7&lt;=$F34+$G34-1),2,IF(AND($C34="Milestone",BA$7&gt;=$F34,BA$7&lt;=$F34+$G34-1),1,""))</f>
        <v/>
      </c>
      <c r="BB34" s="152" t="str">
        <f aca="false">IF(AND($C34="Goal",BB$7&gt;=$F34,BB$7&lt;=$F34+$G34-1),2,IF(AND($C34="Milestone",BB$7&gt;=$F34,BB$7&lt;=$F34+$G34-1),1,""))</f>
        <v/>
      </c>
      <c r="BC34" s="152" t="str">
        <f aca="false">IF(AND($C34="Goal",BC$7&gt;=$F34,BC$7&lt;=$F34+$G34-1),2,IF(AND($C34="Milestone",BC$7&gt;=$F34,BC$7&lt;=$F34+$G34-1),1,""))</f>
        <v/>
      </c>
      <c r="BD34" s="152" t="str">
        <f aca="false">IF(AND($C34="Goal",BD$7&gt;=$F34,BD$7&lt;=$F34+$G34-1),2,IF(AND($C34="Milestone",BD$7&gt;=$F34,BD$7&lt;=$F34+$G34-1),1,""))</f>
        <v/>
      </c>
      <c r="BE34" s="152" t="str">
        <f aca="false">IF(AND($C34="Goal",BE$7&gt;=$F34,BE$7&lt;=$F34+$G34-1),2,IF(AND($C34="Milestone",BE$7&gt;=$F34,BE$7&lt;=$F34+$G34-1),1,""))</f>
        <v/>
      </c>
      <c r="BF34" s="152" t="str">
        <f aca="false">IF(AND($C34="Goal",BF$7&gt;=$F34,BF$7&lt;=$F34+$G34-1),2,IF(AND($C34="Milestone",BF$7&gt;=$F34,BF$7&lt;=$F34+$G34-1),1,""))</f>
        <v/>
      </c>
      <c r="BG34" s="152" t="str">
        <f aca="false">IF(AND($C34="Goal",BG$7&gt;=$F34,BG$7&lt;=$F34+$G34-1),2,IF(AND($C34="Milestone",BG$7&gt;=$F34,BG$7&lt;=$F34+$G34-1),1,""))</f>
        <v/>
      </c>
      <c r="BH34" s="152" t="str">
        <f aca="false">IF(AND($C34="Goal",BH$7&gt;=$F34,BH$7&lt;=$F34+$G34-1),2,IF(AND($C34="Milestone",BH$7&gt;=$F34,BH$7&lt;=$F34+$G34-1),1,""))</f>
        <v/>
      </c>
      <c r="BI34" s="152" t="str">
        <f aca="false">IF(AND($C34="Goal",BI$7&gt;=$F34,BI$7&lt;=$F34+$G34-1),2,IF(AND($C34="Milestone",BI$7&gt;=$F34,BI$7&lt;=$F34+$G34-1),1,""))</f>
        <v/>
      </c>
      <c r="BJ34" s="152" t="str">
        <f aca="false">IF(AND($C34="Goal",BJ$7&gt;=$F34,BJ$7&lt;=$F34+$G34-1),2,IF(AND($C34="Milestone",BJ$7&gt;=$F34,BJ$7&lt;=$F34+$G34-1),1,""))</f>
        <v/>
      </c>
      <c r="BK34" s="152" t="str">
        <f aca="false">IF(AND($C34="Goal",BK$7&gt;=$F34,BK$7&lt;=$F34+$G34-1),2,IF(AND($C34="Milestone",BK$7&gt;=$F34,BK$7&lt;=$F34+$G34-1),1,""))</f>
        <v/>
      </c>
      <c r="BL34" s="152" t="str">
        <f aca="false">IF(AND($C34="Goal",BL$7&gt;=$F34,BL$7&lt;=$F34+$G34-1),2,IF(AND($C34="Milestone",BL$7&gt;=$F34,BL$7&lt;=$F34+$G34-1),1,""))</f>
        <v/>
      </c>
      <c r="BM34" s="114"/>
    </row>
    <row r="35" s="25" customFormat="true" ht="39.75" hidden="false" customHeight="true" outlineLevel="0" collapsed="false">
      <c r="A35" s="13"/>
      <c r="B35" s="153"/>
      <c r="C35" s="146"/>
      <c r="D35" s="146"/>
      <c r="E35" s="147"/>
      <c r="F35" s="148"/>
      <c r="G35" s="149"/>
      <c r="H35" s="150"/>
      <c r="I35" s="151" t="str">
        <f aca="false">IF(AND($C35="Goal",I$7&gt;=$F35,I$7&lt;=$F35+$G35-1),2,IF(AND($C35="Milestone",I$7&gt;=$F35,I$7&lt;=$F35+$G35-1),1,""))</f>
        <v/>
      </c>
      <c r="J35" s="152" t="str">
        <f aca="false">IF(AND($C35="Goal",J$7&gt;=$F35,J$7&lt;=$F35+$G35-1),2,IF(AND($C35="Milestone",J$7&gt;=$F35,J$7&lt;=$F35+$G35-1),1,""))</f>
        <v/>
      </c>
      <c r="K35" s="152" t="str">
        <f aca="false">IF(AND($C35="Goal",K$7&gt;=$F35,K$7&lt;=$F35+$G35-1),2,IF(AND($C35="Milestone",K$7&gt;=$F35,K$7&lt;=$F35+$G35-1),1,""))</f>
        <v/>
      </c>
      <c r="L35" s="152" t="str">
        <f aca="false">IF(AND($C35="Goal",L$7&gt;=$F35,L$7&lt;=$F35+$G35-1),2,IF(AND($C35="Milestone",L$7&gt;=$F35,L$7&lt;=$F35+$G35-1),1,""))</f>
        <v/>
      </c>
      <c r="M35" s="152" t="str">
        <f aca="false">IF(AND($C35="Goal",M$7&gt;=$F35,M$7&lt;=$F35+$G35-1),2,IF(AND($C35="Milestone",M$7&gt;=$F35,M$7&lt;=$F35+$G35-1),1,""))</f>
        <v/>
      </c>
      <c r="N35" s="152" t="str">
        <f aca="false">IF(AND($C35="Goal",N$7&gt;=$F35,N$7&lt;=$F35+$G35-1),2,IF(AND($C35="Milestone",N$7&gt;=$F35,N$7&lt;=$F35+$G35-1),1,""))</f>
        <v/>
      </c>
      <c r="O35" s="152" t="str">
        <f aca="false">IF(AND($C35="Goal",O$7&gt;=$F35,O$7&lt;=$F35+$G35-1),2,IF(AND($C35="Milestone",O$7&gt;=$F35,O$7&lt;=$F35+$G35-1),1,""))</f>
        <v/>
      </c>
      <c r="P35" s="152" t="str">
        <f aca="false">IF(AND($C35="Goal",P$7&gt;=$F35,P$7&lt;=$F35+$G35-1),2,IF(AND($C35="Milestone",P$7&gt;=$F35,P$7&lt;=$F35+$G35-1),1,""))</f>
        <v/>
      </c>
      <c r="Q35" s="152" t="str">
        <f aca="false">IF(AND($C35="Goal",Q$7&gt;=$F35,Q$7&lt;=$F35+$G35-1),2,IF(AND($C35="Milestone",Q$7&gt;=$F35,Q$7&lt;=$F35+$G35-1),1,""))</f>
        <v/>
      </c>
      <c r="R35" s="152" t="str">
        <f aca="false">IF(AND($C35="Goal",R$7&gt;=$F35,R$7&lt;=$F35+$G35-1),2,IF(AND($C35="Milestone",R$7&gt;=$F35,R$7&lt;=$F35+$G35-1),1,""))</f>
        <v/>
      </c>
      <c r="S35" s="152" t="str">
        <f aca="false">IF(AND($C35="Goal",S$7&gt;=$F35,S$7&lt;=$F35+$G35-1),2,IF(AND($C35="Milestone",S$7&gt;=$F35,S$7&lt;=$F35+$G35-1),1,""))</f>
        <v/>
      </c>
      <c r="T35" s="152" t="str">
        <f aca="false">IF(AND($C35="Goal",T$7&gt;=$F35,T$7&lt;=$F35+$G35-1),2,IF(AND($C35="Milestone",T$7&gt;=$F35,T$7&lt;=$F35+$G35-1),1,""))</f>
        <v/>
      </c>
      <c r="U35" s="152" t="str">
        <f aca="false">IF(AND($C35="Goal",U$7&gt;=$F35,U$7&lt;=$F35+$G35-1),2,IF(AND($C35="Milestone",U$7&gt;=$F35,U$7&lt;=$F35+$G35-1),1,""))</f>
        <v/>
      </c>
      <c r="V35" s="152" t="str">
        <f aca="false">IF(AND($C35="Goal",V$7&gt;=$F35,V$7&lt;=$F35+$G35-1),2,IF(AND($C35="Milestone",V$7&gt;=$F35,V$7&lt;=$F35+$G35-1),1,""))</f>
        <v/>
      </c>
      <c r="W35" s="152" t="str">
        <f aca="false">IF(AND($C35="Goal",W$7&gt;=$F35,W$7&lt;=$F35+$G35-1),2,IF(AND($C35="Milestone",W$7&gt;=$F35,W$7&lt;=$F35+$G35-1),1,""))</f>
        <v/>
      </c>
      <c r="X35" s="152" t="str">
        <f aca="false">IF(AND($C35="Goal",X$7&gt;=$F35,X$7&lt;=$F35+$G35-1),2,IF(AND($C35="Milestone",X$7&gt;=$F35,X$7&lt;=$F35+$G35-1),1,""))</f>
        <v/>
      </c>
      <c r="Y35" s="152" t="str">
        <f aca="false">IF(AND($C35="Goal",Y$7&gt;=$F35,Y$7&lt;=$F35+$G35-1),2,IF(AND($C35="Milestone",Y$7&gt;=$F35,Y$7&lt;=$F35+$G35-1),1,""))</f>
        <v/>
      </c>
      <c r="Z35" s="152" t="str">
        <f aca="false">IF(AND($C35="Goal",Z$7&gt;=$F35,Z$7&lt;=$F35+$G35-1),2,IF(AND($C35="Milestone",Z$7&gt;=$F35,Z$7&lt;=$F35+$G35-1),1,""))</f>
        <v/>
      </c>
      <c r="AA35" s="152" t="str">
        <f aca="false">IF(AND($C35="Goal",AA$7&gt;=$F35,AA$7&lt;=$F35+$G35-1),2,IF(AND($C35="Milestone",AA$7&gt;=$F35,AA$7&lt;=$F35+$G35-1),1,""))</f>
        <v/>
      </c>
      <c r="AB35" s="152" t="str">
        <f aca="false">IF(AND($C35="Goal",AB$7&gt;=$F35,AB$7&lt;=$F35+$G35-1),2,IF(AND($C35="Milestone",AB$7&gt;=$F35,AB$7&lt;=$F35+$G35-1),1,""))</f>
        <v/>
      </c>
      <c r="AC35" s="152" t="str">
        <f aca="false">IF(AND($C35="Goal",AC$7&gt;=$F35,AC$7&lt;=$F35+$G35-1),2,IF(AND($C35="Milestone",AC$7&gt;=$F35,AC$7&lt;=$F35+$G35-1),1,""))</f>
        <v/>
      </c>
      <c r="AD35" s="152" t="str">
        <f aca="false">IF(AND($C35="Goal",AD$7&gt;=$F35,AD$7&lt;=$F35+$G35-1),2,IF(AND($C35="Milestone",AD$7&gt;=$F35,AD$7&lt;=$F35+$G35-1),1,""))</f>
        <v/>
      </c>
      <c r="AE35" s="152" t="str">
        <f aca="false">IF(AND($C35="Goal",AE$7&gt;=$F35,AE$7&lt;=$F35+$G35-1),2,IF(AND($C35="Milestone",AE$7&gt;=$F35,AE$7&lt;=$F35+$G35-1),1,""))</f>
        <v/>
      </c>
      <c r="AF35" s="152" t="str">
        <f aca="false">IF(AND($C35="Goal",AF$7&gt;=$F35,AF$7&lt;=$F35+$G35-1),2,IF(AND($C35="Milestone",AF$7&gt;=$F35,AF$7&lt;=$F35+$G35-1),1,""))</f>
        <v/>
      </c>
      <c r="AG35" s="152" t="str">
        <f aca="false">IF(AND($C35="Goal",AG$7&gt;=$F35,AG$7&lt;=$F35+$G35-1),2,IF(AND($C35="Milestone",AG$7&gt;=$F35,AG$7&lt;=$F35+$G35-1),1,""))</f>
        <v/>
      </c>
      <c r="AH35" s="152" t="str">
        <f aca="false">IF(AND($C35="Goal",AH$7&gt;=$F35,AH$7&lt;=$F35+$G35-1),2,IF(AND($C35="Milestone",AH$7&gt;=$F35,AH$7&lt;=$F35+$G35-1),1,""))</f>
        <v/>
      </c>
      <c r="AI35" s="152" t="str">
        <f aca="false">IF(AND($C35="Goal",AI$7&gt;=$F35,AI$7&lt;=$F35+$G35-1),2,IF(AND($C35="Milestone",AI$7&gt;=$F35,AI$7&lt;=$F35+$G35-1),1,""))</f>
        <v/>
      </c>
      <c r="AJ35" s="152" t="str">
        <f aca="false">IF(AND($C35="Goal",AJ$7&gt;=$F35,AJ$7&lt;=$F35+$G35-1),2,IF(AND($C35="Milestone",AJ$7&gt;=$F35,AJ$7&lt;=$F35+$G35-1),1,""))</f>
        <v/>
      </c>
      <c r="AK35" s="152" t="str">
        <f aca="false">IF(AND($C35="Goal",AK$7&gt;=$F35,AK$7&lt;=$F35+$G35-1),2,IF(AND($C35="Milestone",AK$7&gt;=$F35,AK$7&lt;=$F35+$G35-1),1,""))</f>
        <v/>
      </c>
      <c r="AL35" s="152" t="str">
        <f aca="false">IF(AND($C35="Goal",AL$7&gt;=$F35,AL$7&lt;=$F35+$G35-1),2,IF(AND($C35="Milestone",AL$7&gt;=$F35,AL$7&lt;=$F35+$G35-1),1,""))</f>
        <v/>
      </c>
      <c r="AM35" s="152" t="str">
        <f aca="false">IF(AND($C35="Goal",AM$7&gt;=$F35,AM$7&lt;=$F35+$G35-1),2,IF(AND($C35="Milestone",AM$7&gt;=$F35,AM$7&lt;=$F35+$G35-1),1,""))</f>
        <v/>
      </c>
      <c r="AN35" s="152" t="str">
        <f aca="false">IF(AND($C35="Goal",AN$7&gt;=$F35,AN$7&lt;=$F35+$G35-1),2,IF(AND($C35="Milestone",AN$7&gt;=$F35,AN$7&lt;=$F35+$G35-1),1,""))</f>
        <v/>
      </c>
      <c r="AO35" s="152" t="str">
        <f aca="false">IF(AND($C35="Goal",AO$7&gt;=$F35,AO$7&lt;=$F35+$G35-1),2,IF(AND($C35="Milestone",AO$7&gt;=$F35,AO$7&lt;=$F35+$G35-1),1,""))</f>
        <v/>
      </c>
      <c r="AP35" s="152" t="str">
        <f aca="false">IF(AND($C35="Goal",AP$7&gt;=$F35,AP$7&lt;=$F35+$G35-1),2,IF(AND($C35="Milestone",AP$7&gt;=$F35,AP$7&lt;=$F35+$G35-1),1,""))</f>
        <v/>
      </c>
      <c r="AQ35" s="152" t="str">
        <f aca="false">IF(AND($C35="Goal",AQ$7&gt;=$F35,AQ$7&lt;=$F35+$G35-1),2,IF(AND($C35="Milestone",AQ$7&gt;=$F35,AQ$7&lt;=$F35+$G35-1),1,""))</f>
        <v/>
      </c>
      <c r="AR35" s="152" t="str">
        <f aca="false">IF(AND($C35="Goal",AR$7&gt;=$F35,AR$7&lt;=$F35+$G35-1),2,IF(AND($C35="Milestone",AR$7&gt;=$F35,AR$7&lt;=$F35+$G35-1),1,""))</f>
        <v/>
      </c>
      <c r="AS35" s="152" t="str">
        <f aca="false">IF(AND($C35="Goal",AS$7&gt;=$F35,AS$7&lt;=$F35+$G35-1),2,IF(AND($C35="Milestone",AS$7&gt;=$F35,AS$7&lt;=$F35+$G35-1),1,""))</f>
        <v/>
      </c>
      <c r="AT35" s="152" t="str">
        <f aca="false">IF(AND($C35="Goal",AT$7&gt;=$F35,AT$7&lt;=$F35+$G35-1),2,IF(AND($C35="Milestone",AT$7&gt;=$F35,AT$7&lt;=$F35+$G35-1),1,""))</f>
        <v/>
      </c>
      <c r="AU35" s="152" t="str">
        <f aca="false">IF(AND($C35="Goal",AU$7&gt;=$F35,AU$7&lt;=$F35+$G35-1),2,IF(AND($C35="Milestone",AU$7&gt;=$F35,AU$7&lt;=$F35+$G35-1),1,""))</f>
        <v/>
      </c>
      <c r="AV35" s="152" t="str">
        <f aca="false">IF(AND($C35="Goal",AV$7&gt;=$F35,AV$7&lt;=$F35+$G35-1),2,IF(AND($C35="Milestone",AV$7&gt;=$F35,AV$7&lt;=$F35+$G35-1),1,""))</f>
        <v/>
      </c>
      <c r="AW35" s="152" t="str">
        <f aca="false">IF(AND($C35="Goal",AW$7&gt;=$F35,AW$7&lt;=$F35+$G35-1),2,IF(AND($C35="Milestone",AW$7&gt;=$F35,AW$7&lt;=$F35+$G35-1),1,""))</f>
        <v/>
      </c>
      <c r="AX35" s="152" t="str">
        <f aca="false">IF(AND($C35="Goal",AX$7&gt;=$F35,AX$7&lt;=$F35+$G35-1),2,IF(AND($C35="Milestone",AX$7&gt;=$F35,AX$7&lt;=$F35+$G35-1),1,""))</f>
        <v/>
      </c>
      <c r="AY35" s="152" t="str">
        <f aca="false">IF(AND($C35="Goal",AY$7&gt;=$F35,AY$7&lt;=$F35+$G35-1),2,IF(AND($C35="Milestone",AY$7&gt;=$F35,AY$7&lt;=$F35+$G35-1),1,""))</f>
        <v/>
      </c>
      <c r="AZ35" s="152" t="str">
        <f aca="false">IF(AND($C35="Goal",AZ$7&gt;=$F35,AZ$7&lt;=$F35+$G35-1),2,IF(AND($C35="Milestone",AZ$7&gt;=$F35,AZ$7&lt;=$F35+$G35-1),1,""))</f>
        <v/>
      </c>
      <c r="BA35" s="152" t="str">
        <f aca="false">IF(AND($C35="Goal",BA$7&gt;=$F35,BA$7&lt;=$F35+$G35-1),2,IF(AND($C35="Milestone",BA$7&gt;=$F35,BA$7&lt;=$F35+$G35-1),1,""))</f>
        <v/>
      </c>
      <c r="BB35" s="152" t="str">
        <f aca="false">IF(AND($C35="Goal",BB$7&gt;=$F35,BB$7&lt;=$F35+$G35-1),2,IF(AND($C35="Milestone",BB$7&gt;=$F35,BB$7&lt;=$F35+$G35-1),1,""))</f>
        <v/>
      </c>
      <c r="BC35" s="152" t="str">
        <f aca="false">IF(AND($C35="Goal",BC$7&gt;=$F35,BC$7&lt;=$F35+$G35-1),2,IF(AND($C35="Milestone",BC$7&gt;=$F35,BC$7&lt;=$F35+$G35-1),1,""))</f>
        <v/>
      </c>
      <c r="BD35" s="152" t="str">
        <f aca="false">IF(AND($C35="Goal",BD$7&gt;=$F35,BD$7&lt;=$F35+$G35-1),2,IF(AND($C35="Milestone",BD$7&gt;=$F35,BD$7&lt;=$F35+$G35-1),1,""))</f>
        <v/>
      </c>
      <c r="BE35" s="152" t="str">
        <f aca="false">IF(AND($C35="Goal",BE$7&gt;=$F35,BE$7&lt;=$F35+$G35-1),2,IF(AND($C35="Milestone",BE$7&gt;=$F35,BE$7&lt;=$F35+$G35-1),1,""))</f>
        <v/>
      </c>
      <c r="BF35" s="152" t="str">
        <f aca="false">IF(AND($C35="Goal",BF$7&gt;=$F35,BF$7&lt;=$F35+$G35-1),2,IF(AND($C35="Milestone",BF$7&gt;=$F35,BF$7&lt;=$F35+$G35-1),1,""))</f>
        <v/>
      </c>
      <c r="BG35" s="152" t="str">
        <f aca="false">IF(AND($C35="Goal",BG$7&gt;=$F35,BG$7&lt;=$F35+$G35-1),2,IF(AND($C35="Milestone",BG$7&gt;=$F35,BG$7&lt;=$F35+$G35-1),1,""))</f>
        <v/>
      </c>
      <c r="BH35" s="152" t="str">
        <f aca="false">IF(AND($C35="Goal",BH$7&gt;=$F35,BH$7&lt;=$F35+$G35-1),2,IF(AND($C35="Milestone",BH$7&gt;=$F35,BH$7&lt;=$F35+$G35-1),1,""))</f>
        <v/>
      </c>
      <c r="BI35" s="152" t="str">
        <f aca="false">IF(AND($C35="Goal",BI$7&gt;=$F35,BI$7&lt;=$F35+$G35-1),2,IF(AND($C35="Milestone",BI$7&gt;=$F35,BI$7&lt;=$F35+$G35-1),1,""))</f>
        <v/>
      </c>
      <c r="BJ35" s="152" t="str">
        <f aca="false">IF(AND($C35="Goal",BJ$7&gt;=$F35,BJ$7&lt;=$F35+$G35-1),2,IF(AND($C35="Milestone",BJ$7&gt;=$F35,BJ$7&lt;=$F35+$G35-1),1,""))</f>
        <v/>
      </c>
      <c r="BK35" s="152" t="str">
        <f aca="false">IF(AND($C35="Goal",BK$7&gt;=$F35,BK$7&lt;=$F35+$G35-1),2,IF(AND($C35="Milestone",BK$7&gt;=$F35,BK$7&lt;=$F35+$G35-1),1,""))</f>
        <v/>
      </c>
      <c r="BL35" s="152" t="str">
        <f aca="false">IF(AND($C35="Goal",BL$7&gt;=$F35,BL$7&lt;=$F35+$G35-1),2,IF(AND($C35="Milestone",BL$7&gt;=$F35,BL$7&lt;=$F35+$G35-1),1,""))</f>
        <v/>
      </c>
      <c r="BM35" s="154"/>
    </row>
    <row r="36" s="25" customFormat="true" ht="39.75" hidden="false" customHeight="true" outlineLevel="0" collapsed="false">
      <c r="A36" s="15"/>
      <c r="B36" s="155" t="s">
        <v>93</v>
      </c>
      <c r="C36" s="156"/>
      <c r="D36" s="156"/>
      <c r="E36" s="116"/>
      <c r="F36" s="157"/>
      <c r="G36" s="158"/>
      <c r="H36" s="150"/>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14"/>
    </row>
    <row r="37" customFormat="false" ht="30" hidden="false" customHeight="true" outlineLevel="0" collapsed="false">
      <c r="D37" s="103"/>
      <c r="G37" s="104"/>
      <c r="H37" s="98"/>
    </row>
    <row r="38" customFormat="false" ht="30" hidden="false" customHeight="true" outlineLevel="0" collapsed="false">
      <c r="D38" s="105"/>
    </row>
  </sheetData>
  <mergeCells count="8">
    <mergeCell ref="B2:H2"/>
    <mergeCell ref="I2:N2"/>
    <mergeCell ref="O2:T2"/>
    <mergeCell ref="I4:L4"/>
    <mergeCell ref="N4:Q4"/>
    <mergeCell ref="S4:V4"/>
    <mergeCell ref="X4:AA4"/>
    <mergeCell ref="AC4:AF4"/>
  </mergeCells>
  <conditionalFormatting sqref="I7:BL36">
    <cfRule type="expression" priority="2" aboveAverage="0" equalAverage="0" bottom="0" percent="0" rank="0" text="" dxfId="52">
      <formula>AND(TODAY()&gt;=I$7,TODAY()&lt;J$7)</formula>
    </cfRule>
  </conditionalFormatting>
  <conditionalFormatting sqref="I6:BL6">
    <cfRule type="expression" priority="3" aboveAverage="0" equalAverage="0" bottom="0" percent="0" rank="0" text="" dxfId="53">
      <formula>AND(I$7&lt;=EOMONTH($I$7,1),I$7&gt;EOMONTH($I$7,0))</formula>
    </cfRule>
  </conditionalFormatting>
  <conditionalFormatting sqref="J6:BL6">
    <cfRule type="expression" priority="4" aboveAverage="0" equalAverage="0" bottom="0" percent="0" rank="0" text="" dxfId="54">
      <formula>AND(J$7&lt;=EOMONTH($I$7,2),J$7&gt;EOMONTH($I$7,0),J$7&gt;EOMONTH($I$7,1))</formula>
    </cfRule>
  </conditionalFormatting>
  <conditionalFormatting sqref="I6:AM6">
    <cfRule type="expression" priority="5" aboveAverage="0" equalAverage="0" bottom="0" percent="0" rank="0" text="" dxfId="55">
      <formula>I$7&lt;=EOMONTH($I$7,0)</formula>
    </cfRule>
  </conditionalFormatting>
  <conditionalFormatting sqref="E9:E36">
    <cfRule type="dataBar" priority="6">
      <dataBar showValue="1" minLength="10" maxLength="90">
        <cfvo type="num" val="0"/>
        <cfvo type="num" val="1"/>
        <color rgb="FF20A472"/>
      </dataBar>
      <extLst>
        <ext xmlns:x14="http://schemas.microsoft.com/office/spreadsheetml/2009/9/main" uri="{B025F937-C7B1-47D3-B67F-A62EFF666E3E}">
          <x14:id>{20BCBCAD-70B0-43C6-AE5B-AB1030E77093}</x14:id>
        </ext>
      </extLst>
    </cfRule>
  </conditionalFormatting>
  <conditionalFormatting sqref="I10:BL35">
    <cfRule type="expression" priority="8" aboveAverage="0" equalAverage="0" bottom="0" percent="0" rank="0" text="" dxfId="56">
      <formula>AND($C10="Low Risk",I$7&gt;=$F10,I$7&lt;=$F10+$G10-1)</formula>
    </cfRule>
    <cfRule type="expression" priority="9" aboveAverage="0" equalAverage="0" bottom="0" percent="0" rank="0" text="" dxfId="57">
      <formula>AND($C10="High Risk",I$7&gt;=$F10,I$7&lt;=$F10+$G10-1)</formula>
    </cfRule>
    <cfRule type="expression" priority="10" aboveAverage="0" equalAverage="0" bottom="0" percent="0" rank="0" text="" dxfId="58">
      <formula>AND($C10="On Track",I$7&gt;=$F10,I$7&lt;=$F10+$G10-1)</formula>
    </cfRule>
    <cfRule type="expression" priority="11" aboveAverage="0" equalAverage="0" bottom="0" percent="0" rank="0" text="" dxfId="59">
      <formula>AND($C10="Med Risk",I$7&gt;=$F10,I$7&lt;=$F10+$G10-1)</formula>
    </cfRule>
    <cfRule type="expression" priority="12" aboveAverage="0" equalAverage="0" bottom="0" percent="0" rank="0" text="" dxfId="60">
      <formula>AND(LEN($C10)=0,I$7&gt;=$F10,I$7&lt;=$F10+$G10-1)</formula>
    </cfRule>
  </conditionalFormatting>
  <conditionalFormatting sqref="I36:BL36">
    <cfRule type="expression" priority="14" aboveAverage="0" equalAverage="0" bottom="0" percent="0" rank="0" text="" dxfId="61">
      <formula>AND(#ref!="Low Risk",I$7&gt;=#ref!,I$7&lt;=#ref!+#ref!-1)</formula>
    </cfRule>
    <cfRule type="expression" priority="15" aboveAverage="0" equalAverage="0" bottom="0" percent="0" rank="0" text="" dxfId="62">
      <formula>AND(#ref!="High Risk",I$7&gt;=#ref!,I$7&lt;=#ref!+#ref!-1)</formula>
    </cfRule>
    <cfRule type="expression" priority="16" aboveAverage="0" equalAverage="0" bottom="0" percent="0" rank="0" text="" dxfId="63">
      <formula>AND(#ref!="On Track",I$7&gt;=#ref!,I$7&lt;=#ref!+#ref!-1)</formula>
    </cfRule>
    <cfRule type="expression" priority="17" aboveAverage="0" equalAverage="0" bottom="0" percent="0" rank="0" text="" dxfId="64">
      <formula>AND(#ref!="Med Risk",I$7&gt;=#ref!,I$7&lt;=#ref!+#ref!-1)</formula>
    </cfRule>
    <cfRule type="expression" priority="18" aboveAverage="0" equalAverage="0" bottom="0" percent="0" rank="0" text="" dxfId="65">
      <formula>AND(LEN(#ref!)=0,I$7&gt;=#ref!,I$7&lt;=#ref!+#ref!-1)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35"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36" type="none">
      <formula1>0</formula1>
      <formula2>0</formula2>
    </dataValidation>
    <dataValidation allowBlank="true" errorStyle="stop" operator="between" prompt="This is an empty row" showDropDown="false" showErrorMessage="true" showInputMessage="true" sqref="A35"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extLst>
    <ext xmlns:x14="http://schemas.microsoft.com/office/spreadsheetml/2009/9/main" uri="{78C0D931-6437-407d-A8EE-F0AAD7539E65}">
      <x14:conditionalFormattings>
        <x14:conditionalFormatting xmlns:xm="http://schemas.microsoft.com/office/excel/2006/main">
          <x14:cfRule type="dataBar" id="{20BCBCAD-70B0-43C6-AE5B-AB1030E77093}">
            <x14:dataBar minLength="10" maxLength="90" axisPosition="automatic" gradient="false">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7" id="{C23E5174-CB60-4079-BCE1-466DEF556B70}">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3" id="{7E6051BD-9C30-48FC-BFE0-BDFCB7A645CA}">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P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30" zeroHeight="false" outlineLevelRow="0" outlineLevelCol="0"/>
  <cols>
    <col collapsed="false" customWidth="true" hidden="false" outlineLevel="0" max="1" min="1" style="13" width="4.83"/>
    <col collapsed="false" customWidth="true" hidden="false" outlineLevel="0" max="2" min="2" style="0" width="30.83"/>
    <col collapsed="false" customWidth="true" hidden="false" outlineLevel="0" max="3" min="3" style="0" width="13.5"/>
    <col collapsed="false" customWidth="true" hidden="false" outlineLevel="0" max="4" min="4" style="0" width="20.5"/>
    <col collapsed="false" customWidth="true" hidden="false" outlineLevel="0" max="5" min="5" style="0" width="15.83"/>
    <col collapsed="false" customWidth="true" hidden="false" outlineLevel="0" max="6" min="6" style="14" width="10.5"/>
    <col collapsed="false" customWidth="true" hidden="false" outlineLevel="0" max="7" min="7" style="0" width="10.5"/>
    <col collapsed="false" customWidth="true" hidden="false" outlineLevel="0" max="8" min="8" style="0" width="2.5"/>
    <col collapsed="false" customWidth="true" hidden="false" outlineLevel="0" max="64" min="9" style="0" width="3.5"/>
    <col collapsed="false" customWidth="true" hidden="false" outlineLevel="0" max="65" min="65" style="0" width="2.5"/>
  </cols>
  <sheetData>
    <row r="1" customFormat="false" ht="24.75" hidden="false" customHeight="true" outlineLevel="0" collapsed="false"/>
    <row r="2" customFormat="false" ht="49.5" hidden="false" customHeight="true" outlineLevel="0" collapsed="false">
      <c r="A2" s="15"/>
      <c r="B2" s="159" t="s">
        <v>94</v>
      </c>
      <c r="C2" s="159"/>
      <c r="D2" s="159"/>
      <c r="E2" s="159"/>
      <c r="F2" s="159"/>
      <c r="G2" s="159"/>
      <c r="H2" s="159"/>
      <c r="I2" s="160"/>
      <c r="J2" s="160"/>
      <c r="K2" s="160"/>
      <c r="L2" s="160"/>
      <c r="M2" s="160"/>
      <c r="N2" s="160"/>
      <c r="O2" s="161"/>
      <c r="P2" s="161"/>
      <c r="Q2" s="161"/>
      <c r="R2" s="161"/>
      <c r="S2" s="161"/>
      <c r="T2" s="161"/>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row>
    <row r="3" customFormat="false" ht="19.5" hidden="false" customHeight="true" outlineLevel="0" collapsed="false">
      <c r="A3" s="15"/>
      <c r="B3" s="20"/>
      <c r="C3" s="21"/>
      <c r="D3" s="22"/>
      <c r="E3" s="22"/>
      <c r="F3" s="23"/>
      <c r="G3" s="22"/>
      <c r="H3" s="22"/>
      <c r="I3" s="24"/>
      <c r="J3" s="25"/>
      <c r="K3" s="25"/>
      <c r="L3" s="25"/>
    </row>
    <row r="4" customFormat="false" ht="30" hidden="false" customHeight="true" outlineLevel="0" collapsed="false">
      <c r="A4" s="15"/>
      <c r="B4" s="26" t="s">
        <v>76</v>
      </c>
      <c r="C4" s="27"/>
      <c r="D4" s="28"/>
      <c r="E4" s="29"/>
      <c r="F4" s="30"/>
      <c r="G4" s="31" t="s">
        <v>5</v>
      </c>
      <c r="H4" s="29"/>
      <c r="I4" s="32" t="s">
        <v>6</v>
      </c>
      <c r="J4" s="32"/>
      <c r="K4" s="32"/>
      <c r="L4" s="32"/>
      <c r="N4" s="33" t="s">
        <v>7</v>
      </c>
      <c r="O4" s="33"/>
      <c r="P4" s="33"/>
      <c r="Q4" s="33"/>
      <c r="S4" s="34" t="s">
        <v>8</v>
      </c>
      <c r="T4" s="34"/>
      <c r="U4" s="34"/>
      <c r="V4" s="34"/>
      <c r="X4" s="35" t="s">
        <v>9</v>
      </c>
      <c r="Y4" s="35"/>
      <c r="Z4" s="35"/>
      <c r="AA4" s="35"/>
      <c r="AC4" s="36" t="s">
        <v>10</v>
      </c>
      <c r="AD4" s="36"/>
      <c r="AE4" s="36"/>
      <c r="AF4" s="36"/>
    </row>
    <row r="5" customFormat="false" ht="30" hidden="false" customHeight="true" outlineLevel="0" collapsed="false">
      <c r="A5" s="15"/>
      <c r="B5" s="163" t="s">
        <v>95</v>
      </c>
      <c r="C5" s="28"/>
      <c r="D5" s="28"/>
      <c r="E5" s="29"/>
      <c r="F5" s="30"/>
      <c r="G5" s="29"/>
      <c r="H5" s="29"/>
    </row>
    <row r="6" customFormat="false" ht="30" hidden="false" customHeight="true" outlineLevel="0" collapsed="false">
      <c r="A6" s="15"/>
      <c r="B6" s="38" t="s">
        <v>11</v>
      </c>
      <c r="C6" s="39" t="e">
        <f aca="false" t="array" ref="C6:C6">IFERROR(IF(MIN(Milestones43524[Start])=0,TODAY(),B11(Milestones43524[Start])),TODAY())</f>
        <v>#VALUE!</v>
      </c>
      <c r="D6" s="40"/>
      <c r="E6" s="29"/>
      <c r="F6" s="30"/>
      <c r="G6" s="29"/>
      <c r="H6" s="29"/>
      <c r="I6" s="41" t="str">
        <f aca="false">TEXT(I7,"mmmm")</f>
        <v>November</v>
      </c>
      <c r="J6" s="42"/>
      <c r="K6" s="42"/>
      <c r="L6" s="42"/>
      <c r="M6" s="42"/>
      <c r="N6" s="42"/>
      <c r="O6" s="42"/>
      <c r="P6" s="42" t="str">
        <f aca="false">IF(TEXT(P7,"mmmm")=I6,"",TEXT(P7,"mmmm"))</f>
        <v/>
      </c>
      <c r="Q6" s="42"/>
      <c r="R6" s="42"/>
      <c r="S6" s="42"/>
      <c r="T6" s="42"/>
      <c r="U6" s="42"/>
      <c r="V6" s="42"/>
      <c r="W6" s="42" t="str">
        <f aca="false">IF(OR(TEXT(W7,"mmmm")=P6,TEXT(W7,"mmmm")=I6),"",TEXT(W7,"mmmm"))</f>
        <v/>
      </c>
      <c r="X6" s="42"/>
      <c r="Y6" s="42"/>
      <c r="Z6" s="42"/>
      <c r="AA6" s="42"/>
      <c r="AB6" s="42"/>
      <c r="AC6" s="42"/>
      <c r="AD6" s="42" t="str">
        <f aca="false">IF(OR(TEXT(AD7,"mmmm")=W6,TEXT(AD7,"mmmm")=P6,TEXT(AD7,"mmmm")=I6),"",TEXT(AD7,"mmmm"))</f>
        <v/>
      </c>
      <c r="AE6" s="42"/>
      <c r="AF6" s="42"/>
      <c r="AG6" s="42"/>
      <c r="AH6" s="42"/>
      <c r="AI6" s="42"/>
      <c r="AJ6" s="42"/>
      <c r="AK6" s="42" t="str">
        <f aca="false">IF(OR(TEXT(AK7,"mmmm")=AD6,TEXT(AK7,"mmmm")=W6,TEXT(AK7,"mmmm")=P6,TEXT(AK7,"mmmm")=I6),"",TEXT(AK7,"mmmm"))</f>
        <v>December</v>
      </c>
      <c r="AL6" s="42"/>
      <c r="AM6" s="42"/>
      <c r="AN6" s="42"/>
      <c r="AO6" s="42"/>
      <c r="AP6" s="42"/>
      <c r="AQ6" s="42"/>
      <c r="AR6" s="42" t="str">
        <f aca="false">IF(OR(TEXT(AR7,"mmmm")=AK6,TEXT(AR7,"mmmm")=AD6,TEXT(AR7,"mmmm")=W6,TEXT(AR7,"mmmm")=P6),"",TEXT(AR7,"mmmm"))</f>
        <v/>
      </c>
      <c r="AS6" s="42"/>
      <c r="AT6" s="42"/>
      <c r="AU6" s="42"/>
      <c r="AV6" s="42"/>
      <c r="AW6" s="42"/>
      <c r="AX6" s="43"/>
      <c r="AY6" s="43" t="str">
        <f aca="false">IF(OR(TEXT(AY7,"mmmm")=AR6,TEXT(AY7,"mmmm")=AK6,TEXT(AY7,"mmmm")=AD6,TEXT(AY7,"mmmm")=W6),"",TEXT(AY7,"mmmm"))</f>
        <v/>
      </c>
      <c r="AZ6" s="43"/>
      <c r="BA6" s="43"/>
      <c r="BB6" s="44"/>
      <c r="BC6" s="45"/>
      <c r="BD6" s="45"/>
      <c r="BE6" s="45"/>
      <c r="BF6" s="45" t="str">
        <f aca="false">IF(OR(TEXT(BF7,"mmmm")=AY6,TEXT(BF7,"mmmm")=AR6,TEXT(BF7,"mmmm")=AK6,TEXT(BF7,"mmmm")=AD6),"",TEXT(BF7,"mmmm"))</f>
        <v/>
      </c>
      <c r="BG6" s="45"/>
      <c r="BH6" s="45"/>
      <c r="BI6" s="45"/>
      <c r="BJ6" s="45"/>
      <c r="BK6" s="45"/>
      <c r="BL6" s="45"/>
    </row>
    <row r="7" customFormat="false" ht="30" hidden="false" customHeight="true" outlineLevel="0" collapsed="false">
      <c r="A7" s="15"/>
      <c r="B7" s="38" t="s">
        <v>78</v>
      </c>
      <c r="C7" s="46" t="n">
        <v>5</v>
      </c>
      <c r="D7" s="28"/>
      <c r="E7" s="29"/>
      <c r="F7" s="29"/>
      <c r="G7" s="29"/>
      <c r="H7" s="47"/>
      <c r="I7" s="48" t="n">
        <f aca="true">IFERROR(Project_Start+Scrolling_Increment,TODAY())</f>
        <v>45965</v>
      </c>
      <c r="J7" s="49" t="n">
        <f aca="false">I7+1</f>
        <v>45966</v>
      </c>
      <c r="K7" s="49" t="n">
        <f aca="false">J7+1</f>
        <v>45967</v>
      </c>
      <c r="L7" s="49" t="n">
        <f aca="false">K7+1</f>
        <v>45968</v>
      </c>
      <c r="M7" s="49" t="n">
        <f aca="false">L7+1</f>
        <v>45969</v>
      </c>
      <c r="N7" s="49" t="n">
        <f aca="false">M7+1</f>
        <v>45970</v>
      </c>
      <c r="O7" s="50" t="n">
        <f aca="false">N7+1</f>
        <v>45971</v>
      </c>
      <c r="P7" s="49" t="n">
        <f aca="false">O7+1</f>
        <v>45972</v>
      </c>
      <c r="Q7" s="49" t="n">
        <f aca="false">P7+1</f>
        <v>45973</v>
      </c>
      <c r="R7" s="49" t="n">
        <f aca="false">Q7+1</f>
        <v>45974</v>
      </c>
      <c r="S7" s="49" t="n">
        <f aca="false">R7+1</f>
        <v>45975</v>
      </c>
      <c r="T7" s="49" t="n">
        <f aca="false">S7+1</f>
        <v>45976</v>
      </c>
      <c r="U7" s="49" t="n">
        <f aca="false">T7+1</f>
        <v>45977</v>
      </c>
      <c r="V7" s="50" t="n">
        <f aca="false">U7+1</f>
        <v>45978</v>
      </c>
      <c r="W7" s="49" t="n">
        <f aca="false">V7+1</f>
        <v>45979</v>
      </c>
      <c r="X7" s="49" t="n">
        <f aca="false">W7+1</f>
        <v>45980</v>
      </c>
      <c r="Y7" s="49" t="n">
        <f aca="false">X7+1</f>
        <v>45981</v>
      </c>
      <c r="Z7" s="49" t="n">
        <f aca="false">Y7+1</f>
        <v>45982</v>
      </c>
      <c r="AA7" s="49" t="n">
        <f aca="false">Z7+1</f>
        <v>45983</v>
      </c>
      <c r="AB7" s="49" t="n">
        <f aca="false">AA7+1</f>
        <v>45984</v>
      </c>
      <c r="AC7" s="50" t="n">
        <f aca="false">AB7+1</f>
        <v>45985</v>
      </c>
      <c r="AD7" s="49" t="n">
        <f aca="false">AC7+1</f>
        <v>45986</v>
      </c>
      <c r="AE7" s="49" t="n">
        <f aca="false">AD7+1</f>
        <v>45987</v>
      </c>
      <c r="AF7" s="49" t="n">
        <f aca="false">AE7+1</f>
        <v>45988</v>
      </c>
      <c r="AG7" s="49" t="n">
        <f aca="false">AF7+1</f>
        <v>45989</v>
      </c>
      <c r="AH7" s="49" t="n">
        <f aca="false">AG7+1</f>
        <v>45990</v>
      </c>
      <c r="AI7" s="49" t="n">
        <f aca="false">AH7+1</f>
        <v>45991</v>
      </c>
      <c r="AJ7" s="50" t="n">
        <f aca="false">AI7+1</f>
        <v>45992</v>
      </c>
      <c r="AK7" s="49" t="n">
        <f aca="false">AJ7+1</f>
        <v>45993</v>
      </c>
      <c r="AL7" s="49" t="n">
        <f aca="false">AK7+1</f>
        <v>45994</v>
      </c>
      <c r="AM7" s="49" t="n">
        <f aca="false">AL7+1</f>
        <v>45995</v>
      </c>
      <c r="AN7" s="49" t="n">
        <f aca="false">AM7+1</f>
        <v>45996</v>
      </c>
      <c r="AO7" s="49" t="n">
        <f aca="false">AN7+1</f>
        <v>45997</v>
      </c>
      <c r="AP7" s="49" t="n">
        <f aca="false">AO7+1</f>
        <v>45998</v>
      </c>
      <c r="AQ7" s="50" t="n">
        <f aca="false">AP7+1</f>
        <v>45999</v>
      </c>
      <c r="AR7" s="49" t="n">
        <f aca="false">AQ7+1</f>
        <v>46000</v>
      </c>
      <c r="AS7" s="49" t="n">
        <f aca="false">AR7+1</f>
        <v>46001</v>
      </c>
      <c r="AT7" s="49" t="n">
        <f aca="false">AS7+1</f>
        <v>46002</v>
      </c>
      <c r="AU7" s="49" t="n">
        <f aca="false">AT7+1</f>
        <v>46003</v>
      </c>
      <c r="AV7" s="49" t="n">
        <f aca="false">AU7+1</f>
        <v>46004</v>
      </c>
      <c r="AW7" s="49" t="n">
        <f aca="false">AV7+1</f>
        <v>46005</v>
      </c>
      <c r="AX7" s="50" t="n">
        <f aca="false">AW7+1</f>
        <v>46006</v>
      </c>
      <c r="AY7" s="49" t="n">
        <f aca="false">AX7+1</f>
        <v>46007</v>
      </c>
      <c r="AZ7" s="49" t="n">
        <f aca="false">AY7+1</f>
        <v>46008</v>
      </c>
      <c r="BA7" s="49" t="n">
        <f aca="false">AZ7+1</f>
        <v>46009</v>
      </c>
      <c r="BB7" s="49" t="n">
        <f aca="false">BA7+1</f>
        <v>46010</v>
      </c>
      <c r="BC7" s="49" t="n">
        <f aca="false">BB7+1</f>
        <v>46011</v>
      </c>
      <c r="BD7" s="49" t="n">
        <f aca="false">BC7+1</f>
        <v>46012</v>
      </c>
      <c r="BE7" s="50" t="n">
        <f aca="false">BD7+1</f>
        <v>46013</v>
      </c>
      <c r="BF7" s="49" t="n">
        <f aca="false">BE7+1</f>
        <v>46014</v>
      </c>
      <c r="BG7" s="49" t="n">
        <f aca="false">BF7+1</f>
        <v>46015</v>
      </c>
      <c r="BH7" s="49" t="n">
        <f aca="false">BG7+1</f>
        <v>46016</v>
      </c>
      <c r="BI7" s="49" t="n">
        <f aca="false">BH7+1</f>
        <v>46017</v>
      </c>
      <c r="BJ7" s="49" t="n">
        <f aca="false">BI7+1</f>
        <v>46018</v>
      </c>
      <c r="BK7" s="49" t="n">
        <f aca="false">BJ7+1</f>
        <v>46019</v>
      </c>
      <c r="BL7" s="50" t="n">
        <f aca="false">BK7+1</f>
        <v>46020</v>
      </c>
    </row>
    <row r="8" customFormat="false" ht="19.5" hidden="false" customHeight="true" outlineLevel="0" collapsed="false">
      <c r="A8" s="15"/>
      <c r="B8" s="28"/>
      <c r="C8" s="28"/>
      <c r="D8" s="28"/>
      <c r="E8" s="29"/>
      <c r="F8" s="29"/>
      <c r="G8" s="29"/>
      <c r="H8" s="47"/>
      <c r="I8" s="51"/>
      <c r="J8" s="52"/>
      <c r="K8" s="52"/>
      <c r="L8" s="52"/>
      <c r="M8" s="52"/>
      <c r="N8" s="52"/>
      <c r="O8" s="52"/>
      <c r="P8" s="53"/>
      <c r="Q8" s="52"/>
      <c r="R8" s="52"/>
      <c r="S8" s="52"/>
      <c r="T8" s="52"/>
      <c r="U8" s="52"/>
      <c r="V8" s="54"/>
      <c r="W8" s="52"/>
      <c r="X8" s="52"/>
      <c r="Y8" s="52"/>
      <c r="Z8" s="52"/>
      <c r="AA8" s="52"/>
      <c r="AB8" s="52"/>
      <c r="AC8" s="54"/>
      <c r="AD8" s="52"/>
      <c r="AE8" s="52"/>
      <c r="AF8" s="52"/>
      <c r="AG8" s="52"/>
      <c r="AH8" s="52"/>
      <c r="AI8" s="52"/>
      <c r="AJ8" s="54"/>
      <c r="AK8" s="52"/>
      <c r="AL8" s="52"/>
      <c r="AM8" s="52"/>
      <c r="AN8" s="52"/>
      <c r="AO8" s="52"/>
      <c r="AP8" s="52"/>
      <c r="AQ8" s="54"/>
      <c r="AR8" s="52"/>
      <c r="AS8" s="52"/>
      <c r="AT8" s="52"/>
      <c r="AU8" s="52"/>
      <c r="AV8" s="52"/>
      <c r="AW8" s="52"/>
      <c r="AX8" s="54"/>
      <c r="AY8" s="52"/>
      <c r="AZ8" s="52"/>
      <c r="BA8" s="52"/>
      <c r="BB8" s="52"/>
      <c r="BC8" s="52"/>
      <c r="BD8" s="52"/>
      <c r="BE8" s="54"/>
      <c r="BF8" s="52"/>
      <c r="BG8" s="52"/>
      <c r="BH8" s="52"/>
      <c r="BI8" s="52"/>
      <c r="BJ8" s="52"/>
      <c r="BK8" s="52"/>
      <c r="BL8" s="55"/>
    </row>
    <row r="9" customFormat="false" ht="39.75" hidden="false" customHeight="true" outlineLevel="0" collapsed="false">
      <c r="A9" s="15"/>
      <c r="B9" s="164" t="s">
        <v>12</v>
      </c>
      <c r="C9" s="165" t="s">
        <v>79</v>
      </c>
      <c r="D9" s="165" t="s">
        <v>14</v>
      </c>
      <c r="E9" s="165" t="s">
        <v>15</v>
      </c>
      <c r="F9" s="165" t="s">
        <v>16</v>
      </c>
      <c r="G9" s="165" t="s">
        <v>17</v>
      </c>
      <c r="H9" s="58"/>
      <c r="I9" s="59" t="str">
        <f aca="false">LEFT(TEXT(I7,"ddd"),1)</f>
        <v>T</v>
      </c>
      <c r="J9" s="59" t="str">
        <f aca="false">LEFT(TEXT(J7,"ddd"),1)</f>
        <v>W</v>
      </c>
      <c r="K9" s="59" t="str">
        <f aca="false">LEFT(TEXT(K7,"ddd"),1)</f>
        <v>T</v>
      </c>
      <c r="L9" s="59" t="str">
        <f aca="false">LEFT(TEXT(L7,"ddd"),1)</f>
        <v>F</v>
      </c>
      <c r="M9" s="59" t="str">
        <f aca="false">LEFT(TEXT(M7,"ddd"),1)</f>
        <v>S</v>
      </c>
      <c r="N9" s="59" t="str">
        <f aca="false">LEFT(TEXT(N7,"ddd"),1)</f>
        <v>S</v>
      </c>
      <c r="O9" s="59" t="str">
        <f aca="false">LEFT(TEXT(O7,"ddd"),1)</f>
        <v>M</v>
      </c>
      <c r="P9" s="59" t="str">
        <f aca="false">LEFT(TEXT(P7,"ddd"),1)</f>
        <v>T</v>
      </c>
      <c r="Q9" s="59" t="str">
        <f aca="false">LEFT(TEXT(Q7,"ddd"),1)</f>
        <v>W</v>
      </c>
      <c r="R9" s="59" t="str">
        <f aca="false">LEFT(TEXT(R7,"ddd"),1)</f>
        <v>T</v>
      </c>
      <c r="S9" s="59" t="str">
        <f aca="false">LEFT(TEXT(S7,"ddd"),1)</f>
        <v>F</v>
      </c>
      <c r="T9" s="59" t="str">
        <f aca="false">LEFT(TEXT(T7,"ddd"),1)</f>
        <v>S</v>
      </c>
      <c r="U9" s="59" t="str">
        <f aca="false">LEFT(TEXT(U7,"ddd"),1)</f>
        <v>S</v>
      </c>
      <c r="V9" s="59" t="str">
        <f aca="false">LEFT(TEXT(V7,"ddd"),1)</f>
        <v>M</v>
      </c>
      <c r="W9" s="59" t="str">
        <f aca="false">LEFT(TEXT(W7,"ddd"),1)</f>
        <v>T</v>
      </c>
      <c r="X9" s="59" t="str">
        <f aca="false">LEFT(TEXT(X7,"ddd"),1)</f>
        <v>W</v>
      </c>
      <c r="Y9" s="59" t="str">
        <f aca="false">LEFT(TEXT(Y7,"ddd"),1)</f>
        <v>T</v>
      </c>
      <c r="Z9" s="59" t="str">
        <f aca="false">LEFT(TEXT(Z7,"ddd"),1)</f>
        <v>F</v>
      </c>
      <c r="AA9" s="59" t="str">
        <f aca="false">LEFT(TEXT(AA7,"ddd"),1)</f>
        <v>S</v>
      </c>
      <c r="AB9" s="59" t="str">
        <f aca="false">LEFT(TEXT(AB7,"ddd"),1)</f>
        <v>S</v>
      </c>
      <c r="AC9" s="59" t="str">
        <f aca="false">LEFT(TEXT(AC7,"ddd"),1)</f>
        <v>M</v>
      </c>
      <c r="AD9" s="59" t="str">
        <f aca="false">LEFT(TEXT(AD7,"ddd"),1)</f>
        <v>T</v>
      </c>
      <c r="AE9" s="59" t="str">
        <f aca="false">LEFT(TEXT(AE7,"ddd"),1)</f>
        <v>W</v>
      </c>
      <c r="AF9" s="59" t="str">
        <f aca="false">LEFT(TEXT(AF7,"ddd"),1)</f>
        <v>T</v>
      </c>
      <c r="AG9" s="59" t="str">
        <f aca="false">LEFT(TEXT(AG7,"ddd"),1)</f>
        <v>F</v>
      </c>
      <c r="AH9" s="59" t="str">
        <f aca="false">LEFT(TEXT(AH7,"ddd"),1)</f>
        <v>S</v>
      </c>
      <c r="AI9" s="59" t="str">
        <f aca="false">LEFT(TEXT(AI7,"ddd"),1)</f>
        <v>S</v>
      </c>
      <c r="AJ9" s="59" t="str">
        <f aca="false">LEFT(TEXT(AJ7,"ddd"),1)</f>
        <v>M</v>
      </c>
      <c r="AK9" s="59" t="str">
        <f aca="false">LEFT(TEXT(AK7,"ddd"),1)</f>
        <v>T</v>
      </c>
      <c r="AL9" s="59" t="str">
        <f aca="false">LEFT(TEXT(AL7,"ddd"),1)</f>
        <v>W</v>
      </c>
      <c r="AM9" s="59" t="str">
        <f aca="false">LEFT(TEXT(AM7,"ddd"),1)</f>
        <v>T</v>
      </c>
      <c r="AN9" s="59" t="str">
        <f aca="false">LEFT(TEXT(AN7,"ddd"),1)</f>
        <v>F</v>
      </c>
      <c r="AO9" s="59" t="str">
        <f aca="false">LEFT(TEXT(AO7,"ddd"),1)</f>
        <v>S</v>
      </c>
      <c r="AP9" s="59" t="str">
        <f aca="false">LEFT(TEXT(AP7,"ddd"),1)</f>
        <v>S</v>
      </c>
      <c r="AQ9" s="59" t="str">
        <f aca="false">LEFT(TEXT(AQ7,"ddd"),1)</f>
        <v>M</v>
      </c>
      <c r="AR9" s="59" t="str">
        <f aca="false">LEFT(TEXT(AR7,"ddd"),1)</f>
        <v>T</v>
      </c>
      <c r="AS9" s="59" t="str">
        <f aca="false">LEFT(TEXT(AS7,"ddd"),1)</f>
        <v>W</v>
      </c>
      <c r="AT9" s="59" t="str">
        <f aca="false">LEFT(TEXT(AT7,"ddd"),1)</f>
        <v>T</v>
      </c>
      <c r="AU9" s="59" t="str">
        <f aca="false">LEFT(TEXT(AU7,"ddd"),1)</f>
        <v>F</v>
      </c>
      <c r="AV9" s="59" t="str">
        <f aca="false">LEFT(TEXT(AV7,"ddd"),1)</f>
        <v>S</v>
      </c>
      <c r="AW9" s="59" t="str">
        <f aca="false">LEFT(TEXT(AW7,"ddd"),1)</f>
        <v>S</v>
      </c>
      <c r="AX9" s="59" t="str">
        <f aca="false">LEFT(TEXT(AX7,"ddd"),1)</f>
        <v>M</v>
      </c>
      <c r="AY9" s="59" t="str">
        <f aca="false">LEFT(TEXT(AY7,"ddd"),1)</f>
        <v>T</v>
      </c>
      <c r="AZ9" s="59" t="str">
        <f aca="false">LEFT(TEXT(AZ7,"ddd"),1)</f>
        <v>W</v>
      </c>
      <c r="BA9" s="59" t="str">
        <f aca="false">LEFT(TEXT(BA7,"ddd"),1)</f>
        <v>T</v>
      </c>
      <c r="BB9" s="59" t="str">
        <f aca="false">LEFT(TEXT(BB7,"ddd"),1)</f>
        <v>F</v>
      </c>
      <c r="BC9" s="59" t="str">
        <f aca="false">LEFT(TEXT(BC7,"ddd"),1)</f>
        <v>S</v>
      </c>
      <c r="BD9" s="59" t="str">
        <f aca="false">LEFT(TEXT(BD7,"ddd"),1)</f>
        <v>S</v>
      </c>
      <c r="BE9" s="59" t="str">
        <f aca="false">LEFT(TEXT(BE7,"ddd"),1)</f>
        <v>M</v>
      </c>
      <c r="BF9" s="59" t="str">
        <f aca="false">LEFT(TEXT(BF7,"ddd"),1)</f>
        <v>T</v>
      </c>
      <c r="BG9" s="59" t="str">
        <f aca="false">LEFT(TEXT(BG7,"ddd"),1)</f>
        <v>W</v>
      </c>
      <c r="BH9" s="59" t="str">
        <f aca="false">LEFT(TEXT(BH7,"ddd"),1)</f>
        <v>T</v>
      </c>
      <c r="BI9" s="59" t="str">
        <f aca="false">LEFT(TEXT(BI7,"ddd"),1)</f>
        <v>F</v>
      </c>
      <c r="BJ9" s="59" t="str">
        <f aca="false">LEFT(TEXT(BJ7,"ddd"),1)</f>
        <v>S</v>
      </c>
      <c r="BK9" s="59" t="str">
        <f aca="false">LEFT(TEXT(BK7,"ddd"),1)</f>
        <v>S</v>
      </c>
      <c r="BL9" s="59" t="str">
        <f aca="false">LEFT(TEXT(BL7,"ddd"),1)</f>
        <v>M</v>
      </c>
    </row>
    <row r="10" customFormat="false" ht="30" hidden="true" customHeight="true" outlineLevel="0" collapsed="false">
      <c r="B10" s="60"/>
      <c r="C10" s="61"/>
      <c r="D10" s="62"/>
      <c r="E10" s="61"/>
      <c r="F10" s="63"/>
      <c r="G10" s="64"/>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row>
    <row r="11" s="25" customFormat="true" ht="39.75" hidden="false" customHeight="true" outlineLevel="0" collapsed="false">
      <c r="A11" s="15"/>
      <c r="B11" s="166" t="s">
        <v>80</v>
      </c>
      <c r="C11" s="67"/>
      <c r="D11" s="67"/>
      <c r="E11" s="68"/>
      <c r="F11" s="69"/>
      <c r="G11" s="70"/>
      <c r="H11" s="67"/>
      <c r="I11" s="71" t="str">
        <f aca="false">IF(AND($C11="Goal",I$7&gt;=$F11,I$7&lt;=$F11+$G11-1),2,IF(AND($C11="Milestone",I$7&gt;=$F11,I$7&lt;=$F11+$G11-1),1,""))</f>
        <v/>
      </c>
      <c r="J11" s="71" t="str">
        <f aca="false">IF(AND($C11="Goal",J$7&gt;=$F11,J$7&lt;=$F11+$G11-1),2,IF(AND($C11="Milestone",J$7&gt;=$F11,J$7&lt;=$F11+$G11-1),1,""))</f>
        <v/>
      </c>
      <c r="K11" s="71" t="str">
        <f aca="false">IF(AND($C11="Goal",K$7&gt;=$F11,K$7&lt;=$F11+$G11-1),2,IF(AND($C11="Milestone",K$7&gt;=$F11,K$7&lt;=$F11+$G11-1),1,""))</f>
        <v/>
      </c>
      <c r="L11" s="71" t="str">
        <f aca="false">IF(AND($C11="Goal",L$7&gt;=$F11,L$7&lt;=$F11+$G11-1),2,IF(AND($C11="Milestone",L$7&gt;=$F11,L$7&lt;=$F11+$G11-1),1,""))</f>
        <v/>
      </c>
      <c r="M11" s="71" t="str">
        <f aca="false">IF(AND($C11="Goal",M$7&gt;=$F11,M$7&lt;=$F11+$G11-1),2,IF(AND($C11="Milestone",M$7&gt;=$F11,M$7&lt;=$F11+$G11-1),1,""))</f>
        <v/>
      </c>
      <c r="N11" s="71" t="str">
        <f aca="false">IF(AND($C11="Goal",N$7&gt;=$F11,N$7&lt;=$F11+$G11-1),2,IF(AND($C11="Milestone",N$7&gt;=$F11,N$7&lt;=$F11+$G11-1),1,""))</f>
        <v/>
      </c>
      <c r="O11" s="71" t="str">
        <f aca="false">IF(AND($C11="Goal",O$7&gt;=$F11,O$7&lt;=$F11+$G11-1),2,IF(AND($C11="Milestone",O$7&gt;=$F11,O$7&lt;=$F11+$G11-1),1,""))</f>
        <v/>
      </c>
      <c r="P11" s="71" t="str">
        <f aca="false">IF(AND($C11="Goal",P$7&gt;=$F11,P$7&lt;=$F11+$G11-1),2,IF(AND($C11="Milestone",P$7&gt;=$F11,P$7&lt;=$F11+$G11-1),1,""))</f>
        <v/>
      </c>
      <c r="Q11" s="71" t="str">
        <f aca="false">IF(AND($C11="Goal",Q$7&gt;=$F11,Q$7&lt;=$F11+$G11-1),2,IF(AND($C11="Milestone",Q$7&gt;=$F11,Q$7&lt;=$F11+$G11-1),1,""))</f>
        <v/>
      </c>
      <c r="R11" s="71" t="str">
        <f aca="false">IF(AND($C11="Goal",R$7&gt;=$F11,R$7&lt;=$F11+$G11-1),2,IF(AND($C11="Milestone",R$7&gt;=$F11,R$7&lt;=$F11+$G11-1),1,""))</f>
        <v/>
      </c>
      <c r="S11" s="71" t="str">
        <f aca="false">IF(AND($C11="Goal",S$7&gt;=$F11,S$7&lt;=$F11+$G11-1),2,IF(AND($C11="Milestone",S$7&gt;=$F11,S$7&lt;=$F11+$G11-1),1,""))</f>
        <v/>
      </c>
      <c r="T11" s="71" t="str">
        <f aca="false">IF(AND($C11="Goal",T$7&gt;=$F11,T$7&lt;=$F11+$G11-1),2,IF(AND($C11="Milestone",T$7&gt;=$F11,T$7&lt;=$F11+$G11-1),1,""))</f>
        <v/>
      </c>
      <c r="U11" s="71" t="str">
        <f aca="false">IF(AND($C11="Goal",U$7&gt;=$F11,U$7&lt;=$F11+$G11-1),2,IF(AND($C11="Milestone",U$7&gt;=$F11,U$7&lt;=$F11+$G11-1),1,""))</f>
        <v/>
      </c>
      <c r="V11" s="71" t="str">
        <f aca="false">IF(AND($C11="Goal",V$7&gt;=$F11,V$7&lt;=$F11+$G11-1),2,IF(AND($C11="Milestone",V$7&gt;=$F11,V$7&lt;=$F11+$G11-1),1,""))</f>
        <v/>
      </c>
      <c r="W11" s="71" t="str">
        <f aca="false">IF(AND($C11="Goal",W$7&gt;=$F11,W$7&lt;=$F11+$G11-1),2,IF(AND($C11="Milestone",W$7&gt;=$F11,W$7&lt;=$F11+$G11-1),1,""))</f>
        <v/>
      </c>
      <c r="X11" s="71" t="str">
        <f aca="false">IF(AND($C11="Goal",X$7&gt;=$F11,X$7&lt;=$F11+$G11-1),2,IF(AND($C11="Milestone",X$7&gt;=$F11,X$7&lt;=$F11+$G11-1),1,""))</f>
        <v/>
      </c>
      <c r="Y11" s="71" t="str">
        <f aca="false">IF(AND($C11="Goal",Y$7&gt;=$F11,Y$7&lt;=$F11+$G11-1),2,IF(AND($C11="Milestone",Y$7&gt;=$F11,Y$7&lt;=$F11+$G11-1),1,""))</f>
        <v/>
      </c>
      <c r="Z11" s="71" t="str">
        <f aca="false">IF(AND($C11="Goal",Z$7&gt;=$F11,Z$7&lt;=$F11+$G11-1),2,IF(AND($C11="Milestone",Z$7&gt;=$F11,Z$7&lt;=$F11+$G11-1),1,""))</f>
        <v/>
      </c>
      <c r="AA11" s="71" t="str">
        <f aca="false">IF(AND($C11="Goal",AA$7&gt;=$F11,AA$7&lt;=$F11+$G11-1),2,IF(AND($C11="Milestone",AA$7&gt;=$F11,AA$7&lt;=$F11+$G11-1),1,""))</f>
        <v/>
      </c>
      <c r="AB11" s="71" t="str">
        <f aca="false">IF(AND($C11="Goal",AB$7&gt;=$F11,AB$7&lt;=$F11+$G11-1),2,IF(AND($C11="Milestone",AB$7&gt;=$F11,AB$7&lt;=$F11+$G11-1),1,""))</f>
        <v/>
      </c>
      <c r="AC11" s="71" t="str">
        <f aca="false">IF(AND($C11="Goal",AC$7&gt;=$F11,AC$7&lt;=$F11+$G11-1),2,IF(AND($C11="Milestone",AC$7&gt;=$F11,AC$7&lt;=$F11+$G11-1),1,""))</f>
        <v/>
      </c>
      <c r="AD11" s="71" t="str">
        <f aca="false">IF(AND($C11="Goal",AD$7&gt;=$F11,AD$7&lt;=$F11+$G11-1),2,IF(AND($C11="Milestone",AD$7&gt;=$F11,AD$7&lt;=$F11+$G11-1),1,""))</f>
        <v/>
      </c>
      <c r="AE11" s="71" t="str">
        <f aca="false">IF(AND($C11="Goal",AE$7&gt;=$F11,AE$7&lt;=$F11+$G11-1),2,IF(AND($C11="Milestone",AE$7&gt;=$F11,AE$7&lt;=$F11+$G11-1),1,""))</f>
        <v/>
      </c>
      <c r="AF11" s="71" t="str">
        <f aca="false">IF(AND($C11="Goal",AF$7&gt;=$F11,AF$7&lt;=$F11+$G11-1),2,IF(AND($C11="Milestone",AF$7&gt;=$F11,AF$7&lt;=$F11+$G11-1),1,""))</f>
        <v/>
      </c>
      <c r="AG11" s="71" t="str">
        <f aca="false">IF(AND($C11="Goal",AG$7&gt;=$F11,AG$7&lt;=$F11+$G11-1),2,IF(AND($C11="Milestone",AG$7&gt;=$F11,AG$7&lt;=$F11+$G11-1),1,""))</f>
        <v/>
      </c>
      <c r="AH11" s="71" t="str">
        <f aca="false">IF(AND($C11="Goal",AH$7&gt;=$F11,AH$7&lt;=$F11+$G11-1),2,IF(AND($C11="Milestone",AH$7&gt;=$F11,AH$7&lt;=$F11+$G11-1),1,""))</f>
        <v/>
      </c>
      <c r="AI11" s="71" t="str">
        <f aca="false">IF(AND($C11="Goal",AI$7&gt;=$F11,AI$7&lt;=$F11+$G11-1),2,IF(AND($C11="Milestone",AI$7&gt;=$F11,AI$7&lt;=$F11+$G11-1),1,""))</f>
        <v/>
      </c>
      <c r="AJ11" s="71" t="str">
        <f aca="false">IF(AND($C11="Goal",AJ$7&gt;=$F11,AJ$7&lt;=$F11+$G11-1),2,IF(AND($C11="Milestone",AJ$7&gt;=$F11,AJ$7&lt;=$F11+$G11-1),1,""))</f>
        <v/>
      </c>
      <c r="AK11" s="71" t="str">
        <f aca="false">IF(AND($C11="Goal",AK$7&gt;=$F11,AK$7&lt;=$F11+$G11-1),2,IF(AND($C11="Milestone",AK$7&gt;=$F11,AK$7&lt;=$F11+$G11-1),1,""))</f>
        <v/>
      </c>
      <c r="AL11" s="71" t="str">
        <f aca="false">IF(AND($C11="Goal",AL$7&gt;=$F11,AL$7&lt;=$F11+$G11-1),2,IF(AND($C11="Milestone",AL$7&gt;=$F11,AL$7&lt;=$F11+$G11-1),1,""))</f>
        <v/>
      </c>
      <c r="AM11" s="71" t="str">
        <f aca="false">IF(AND($C11="Goal",AM$7&gt;=$F11,AM$7&lt;=$F11+$G11-1),2,IF(AND($C11="Milestone",AM$7&gt;=$F11,AM$7&lt;=$F11+$G11-1),1,""))</f>
        <v/>
      </c>
      <c r="AN11" s="71" t="str">
        <f aca="false">IF(AND($C11="Goal",AN$7&gt;=$F11,AN$7&lt;=$F11+$G11-1),2,IF(AND($C11="Milestone",AN$7&gt;=$F11,AN$7&lt;=$F11+$G11-1),1,""))</f>
        <v/>
      </c>
      <c r="AO11" s="71" t="str">
        <f aca="false">IF(AND($C11="Goal",AO$7&gt;=$F11,AO$7&lt;=$F11+$G11-1),2,IF(AND($C11="Milestone",AO$7&gt;=$F11,AO$7&lt;=$F11+$G11-1),1,""))</f>
        <v/>
      </c>
      <c r="AP11" s="71" t="str">
        <f aca="false">IF(AND($C11="Goal",AP$7&gt;=$F11,AP$7&lt;=$F11+$G11-1),2,IF(AND($C11="Milestone",AP$7&gt;=$F11,AP$7&lt;=$F11+$G11-1),1,""))</f>
        <v/>
      </c>
      <c r="AQ11" s="71" t="str">
        <f aca="false">IF(AND($C11="Goal",AQ$7&gt;=$F11,AQ$7&lt;=$F11+$G11-1),2,IF(AND($C11="Milestone",AQ$7&gt;=$F11,AQ$7&lt;=$F11+$G11-1),1,""))</f>
        <v/>
      </c>
      <c r="AR11" s="71" t="str">
        <f aca="false">IF(AND($C11="Goal",AR$7&gt;=$F11,AR$7&lt;=$F11+$G11-1),2,IF(AND($C11="Milestone",AR$7&gt;=$F11,AR$7&lt;=$F11+$G11-1),1,""))</f>
        <v/>
      </c>
      <c r="AS11" s="71" t="str">
        <f aca="false">IF(AND($C11="Goal",AS$7&gt;=$F11,AS$7&lt;=$F11+$G11-1),2,IF(AND($C11="Milestone",AS$7&gt;=$F11,AS$7&lt;=$F11+$G11-1),1,""))</f>
        <v/>
      </c>
      <c r="AT11" s="71" t="str">
        <f aca="false">IF(AND($C11="Goal",AT$7&gt;=$F11,AT$7&lt;=$F11+$G11-1),2,IF(AND($C11="Milestone",AT$7&gt;=$F11,AT$7&lt;=$F11+$G11-1),1,""))</f>
        <v/>
      </c>
      <c r="AU11" s="71" t="str">
        <f aca="false">IF(AND($C11="Goal",AU$7&gt;=$F11,AU$7&lt;=$F11+$G11-1),2,IF(AND($C11="Milestone",AU$7&gt;=$F11,AU$7&lt;=$F11+$G11-1),1,""))</f>
        <v/>
      </c>
      <c r="AV11" s="71" t="str">
        <f aca="false">IF(AND($C11="Goal",AV$7&gt;=$F11,AV$7&lt;=$F11+$G11-1),2,IF(AND($C11="Milestone",AV$7&gt;=$F11,AV$7&lt;=$F11+$G11-1),1,""))</f>
        <v/>
      </c>
      <c r="AW11" s="71" t="str">
        <f aca="false">IF(AND($C11="Goal",AW$7&gt;=$F11,AW$7&lt;=$F11+$G11-1),2,IF(AND($C11="Milestone",AW$7&gt;=$F11,AW$7&lt;=$F11+$G11-1),1,""))</f>
        <v/>
      </c>
      <c r="AX11" s="71" t="str">
        <f aca="false">IF(AND($C11="Goal",AX$7&gt;=$F11,AX$7&lt;=$F11+$G11-1),2,IF(AND($C11="Milestone",AX$7&gt;=$F11,AX$7&lt;=$F11+$G11-1),1,""))</f>
        <v/>
      </c>
      <c r="AY11" s="71" t="str">
        <f aca="false">IF(AND($C11="Goal",AY$7&gt;=$F11,AY$7&lt;=$F11+$G11-1),2,IF(AND($C11="Milestone",AY$7&gt;=$F11,AY$7&lt;=$F11+$G11-1),1,""))</f>
        <v/>
      </c>
      <c r="AZ11" s="71" t="str">
        <f aca="false">IF(AND($C11="Goal",AZ$7&gt;=$F11,AZ$7&lt;=$F11+$G11-1),2,IF(AND($C11="Milestone",AZ$7&gt;=$F11,AZ$7&lt;=$F11+$G11-1),1,""))</f>
        <v/>
      </c>
      <c r="BA11" s="71" t="str">
        <f aca="false">IF(AND($C11="Goal",BA$7&gt;=$F11,BA$7&lt;=$F11+$G11-1),2,IF(AND($C11="Milestone",BA$7&gt;=$F11,BA$7&lt;=$F11+$G11-1),1,""))</f>
        <v/>
      </c>
      <c r="BB11" s="71" t="str">
        <f aca="false">IF(AND($C11="Goal",BB$7&gt;=$F11,BB$7&lt;=$F11+$G11-1),2,IF(AND($C11="Milestone",BB$7&gt;=$F11,BB$7&lt;=$F11+$G11-1),1,""))</f>
        <v/>
      </c>
      <c r="BC11" s="71" t="str">
        <f aca="false">IF(AND($C11="Goal",BC$7&gt;=$F11,BC$7&lt;=$F11+$G11-1),2,IF(AND($C11="Milestone",BC$7&gt;=$F11,BC$7&lt;=$F11+$G11-1),1,""))</f>
        <v/>
      </c>
      <c r="BD11" s="71" t="str">
        <f aca="false">IF(AND($C11="Goal",BD$7&gt;=$F11,BD$7&lt;=$F11+$G11-1),2,IF(AND($C11="Milestone",BD$7&gt;=$F11,BD$7&lt;=$F11+$G11-1),1,""))</f>
        <v/>
      </c>
      <c r="BE11" s="71" t="str">
        <f aca="false">IF(AND($C11="Goal",BE$7&gt;=$F11,BE$7&lt;=$F11+$G11-1),2,IF(AND($C11="Milestone",BE$7&gt;=$F11,BE$7&lt;=$F11+$G11-1),1,""))</f>
        <v/>
      </c>
      <c r="BF11" s="71" t="str">
        <f aca="false">IF(AND($C11="Goal",BF$7&gt;=$F11,BF$7&lt;=$F11+$G11-1),2,IF(AND($C11="Milestone",BF$7&gt;=$F11,BF$7&lt;=$F11+$G11-1),1,""))</f>
        <v/>
      </c>
      <c r="BG11" s="71" t="str">
        <f aca="false">IF(AND($C11="Goal",BG$7&gt;=$F11,BG$7&lt;=$F11+$G11-1),2,IF(AND($C11="Milestone",BG$7&gt;=$F11,BG$7&lt;=$F11+$G11-1),1,""))</f>
        <v/>
      </c>
      <c r="BH11" s="71" t="str">
        <f aca="false">IF(AND($C11="Goal",BH$7&gt;=$F11,BH$7&lt;=$F11+$G11-1),2,IF(AND($C11="Milestone",BH$7&gt;=$F11,BH$7&lt;=$F11+$G11-1),1,""))</f>
        <v/>
      </c>
      <c r="BI11" s="71" t="str">
        <f aca="false">IF(AND($C11="Goal",BI$7&gt;=$F11,BI$7&lt;=$F11+$G11-1),2,IF(AND($C11="Milestone",BI$7&gt;=$F11,BI$7&lt;=$F11+$G11-1),1,""))</f>
        <v/>
      </c>
      <c r="BJ11" s="71" t="str">
        <f aca="false">IF(AND($C11="Goal",BJ$7&gt;=$F11,BJ$7&lt;=$F11+$G11-1),2,IF(AND($C11="Milestone",BJ$7&gt;=$F11,BJ$7&lt;=$F11+$G11-1),1,""))</f>
        <v/>
      </c>
      <c r="BK11" s="71" t="str">
        <f aca="false">IF(AND($C11="Goal",BK$7&gt;=$F11,BK$7&lt;=$F11+$G11-1),2,IF(AND($C11="Milestone",BK$7&gt;=$F11,BK$7&lt;=$F11+$G11-1),1,""))</f>
        <v/>
      </c>
      <c r="BL11" s="71" t="str">
        <f aca="false">IF(AND($C11="Goal",BL$7&gt;=$F11,BL$7&lt;=$F11+$G11-1),2,IF(AND($C11="Milestone",BL$7&gt;=$F11,BL$7&lt;=$F11+$G11-1),1,""))</f>
        <v/>
      </c>
      <c r="BP11" s="72"/>
    </row>
    <row r="12" s="25" customFormat="true" ht="39.75" hidden="false" customHeight="true" outlineLevel="0" collapsed="false">
      <c r="A12" s="15"/>
      <c r="B12" s="101" t="s">
        <v>81</v>
      </c>
      <c r="C12" s="67" t="s">
        <v>82</v>
      </c>
      <c r="D12" s="67" t="s">
        <v>83</v>
      </c>
      <c r="E12" s="68" t="n">
        <v>0.25</v>
      </c>
      <c r="F12" s="69" t="n">
        <f aca="true">TODAY()</f>
        <v>45965</v>
      </c>
      <c r="G12" s="70" t="n">
        <v>3</v>
      </c>
      <c r="H12" s="67"/>
      <c r="I12" s="71" t="n">
        <f aca="false">IF(AND($C12="Goal",I$7&gt;=$F12,I$7&lt;=$F12+$G12-1),2,IF(AND($C12="Milestone",I$7&gt;=$F12,I$7&lt;=$F12+$G12-1),1,""))</f>
        <v>2</v>
      </c>
      <c r="J12" s="71" t="n">
        <f aca="false">IF(AND($C12="Goal",J$7&gt;=$F12,J$7&lt;=$F12+$G12-1),2,IF(AND($C12="Milestone",J$7&gt;=$F12,J$7&lt;=$F12+$G12-1),1,""))</f>
        <v>2</v>
      </c>
      <c r="K12" s="71" t="n">
        <f aca="false">IF(AND($C12="Goal",K$7&gt;=$F12,K$7&lt;=$F12+$G12-1),2,IF(AND($C12="Milestone",K$7&gt;=$F12,K$7&lt;=$F12+$G12-1),1,""))</f>
        <v>2</v>
      </c>
      <c r="L12" s="71" t="str">
        <f aca="false">IF(AND($C12="Goal",L$7&gt;=$F12,L$7&lt;=$F12+$G12-1),2,IF(AND($C12="Milestone",L$7&gt;=$F12,L$7&lt;=$F12+$G12-1),1,""))</f>
        <v/>
      </c>
      <c r="M12" s="71" t="str">
        <f aca="false">IF(AND($C12="Goal",M$7&gt;=$F12,M$7&lt;=$F12+$G12-1),2,IF(AND($C12="Milestone",M$7&gt;=$F12,M$7&lt;=$F12+$G12-1),1,""))</f>
        <v/>
      </c>
      <c r="N12" s="71" t="str">
        <f aca="false">IF(AND($C12="Goal",N$7&gt;=$F12,N$7&lt;=$F12+$G12-1),2,IF(AND($C12="Milestone",N$7&gt;=$F12,N$7&lt;=$F12+$G12-1),1,""))</f>
        <v/>
      </c>
      <c r="O12" s="71" t="str">
        <f aca="false">IF(AND($C12="Goal",O$7&gt;=$F12,O$7&lt;=$F12+$G12-1),2,IF(AND($C12="Milestone",O$7&gt;=$F12,O$7&lt;=$F12+$G12-1),1,""))</f>
        <v/>
      </c>
      <c r="P12" s="71" t="str">
        <f aca="false">IF(AND($C12="Goal",P$7&gt;=$F12,P$7&lt;=$F12+$G12-1),2,IF(AND($C12="Milestone",P$7&gt;=$F12,P$7&lt;=$F12+$G12-1),1,""))</f>
        <v/>
      </c>
      <c r="Q12" s="71" t="str">
        <f aca="false">IF(AND($C12="Goal",Q$7&gt;=$F12,Q$7&lt;=$F12+$G12-1),2,IF(AND($C12="Milestone",Q$7&gt;=$F12,Q$7&lt;=$F12+$G12-1),1,""))</f>
        <v/>
      </c>
      <c r="R12" s="71" t="str">
        <f aca="false">IF(AND($C12="Goal",R$7&gt;=$F12,R$7&lt;=$F12+$G12-1),2,IF(AND($C12="Milestone",R$7&gt;=$F12,R$7&lt;=$F12+$G12-1),1,""))</f>
        <v/>
      </c>
      <c r="S12" s="71" t="str">
        <f aca="false">IF(AND($C12="Goal",S$7&gt;=$F12,S$7&lt;=$F12+$G12-1),2,IF(AND($C12="Milestone",S$7&gt;=$F12,S$7&lt;=$F12+$G12-1),1,""))</f>
        <v/>
      </c>
      <c r="T12" s="71" t="str">
        <f aca="false">IF(AND($C12="Goal",T$7&gt;=$F12,T$7&lt;=$F12+$G12-1),2,IF(AND($C12="Milestone",T$7&gt;=$F12,T$7&lt;=$F12+$G12-1),1,""))</f>
        <v/>
      </c>
      <c r="U12" s="71" t="str">
        <f aca="false">IF(AND($C12="Goal",U$7&gt;=$F12,U$7&lt;=$F12+$G12-1),2,IF(AND($C12="Milestone",U$7&gt;=$F12,U$7&lt;=$F12+$G12-1),1,""))</f>
        <v/>
      </c>
      <c r="V12" s="71" t="str">
        <f aca="false">IF(AND($C12="Goal",V$7&gt;=$F12,V$7&lt;=$F12+$G12-1),2,IF(AND($C12="Milestone",V$7&gt;=$F12,V$7&lt;=$F12+$G12-1),1,""))</f>
        <v/>
      </c>
      <c r="W12" s="71" t="str">
        <f aca="false">IF(AND($C12="Goal",W$7&gt;=$F12,W$7&lt;=$F12+$G12-1),2,IF(AND($C12="Milestone",W$7&gt;=$F12,W$7&lt;=$F12+$G12-1),1,""))</f>
        <v/>
      </c>
      <c r="X12" s="71" t="str">
        <f aca="false">IF(AND($C12="Goal",X$7&gt;=$F12,X$7&lt;=$F12+$G12-1),2,IF(AND($C12="Milestone",X$7&gt;=$F12,X$7&lt;=$F12+$G12-1),1,""))</f>
        <v/>
      </c>
      <c r="Y12" s="71" t="str">
        <f aca="false">IF(AND($C12="Goal",Y$7&gt;=$F12,Y$7&lt;=$F12+$G12-1),2,IF(AND($C12="Milestone",Y$7&gt;=$F12,Y$7&lt;=$F12+$G12-1),1,""))</f>
        <v/>
      </c>
      <c r="Z12" s="71" t="str">
        <f aca="false">IF(AND($C12="Goal",Z$7&gt;=$F12,Z$7&lt;=$F12+$G12-1),2,IF(AND($C12="Milestone",Z$7&gt;=$F12,Z$7&lt;=$F12+$G12-1),1,""))</f>
        <v/>
      </c>
      <c r="AA12" s="71" t="str">
        <f aca="false">IF(AND($C12="Goal",AA$7&gt;=$F12,AA$7&lt;=$F12+$G12-1),2,IF(AND($C12="Milestone",AA$7&gt;=$F12,AA$7&lt;=$F12+$G12-1),1,""))</f>
        <v/>
      </c>
      <c r="AB12" s="71" t="str">
        <f aca="false">IF(AND($C12="Goal",AB$7&gt;=$F12,AB$7&lt;=$F12+$G12-1),2,IF(AND($C12="Milestone",AB$7&gt;=$F12,AB$7&lt;=$F12+$G12-1),1,""))</f>
        <v/>
      </c>
      <c r="AC12" s="71" t="str">
        <f aca="false">IF(AND($C12="Goal",AC$7&gt;=$F12,AC$7&lt;=$F12+$G12-1),2,IF(AND($C12="Milestone",AC$7&gt;=$F12,AC$7&lt;=$F12+$G12-1),1,""))</f>
        <v/>
      </c>
      <c r="AD12" s="71" t="str">
        <f aca="false">IF(AND($C12="Goal",AD$7&gt;=$F12,AD$7&lt;=$F12+$G12-1),2,IF(AND($C12="Milestone",AD$7&gt;=$F12,AD$7&lt;=$F12+$G12-1),1,""))</f>
        <v/>
      </c>
      <c r="AE12" s="71" t="str">
        <f aca="false">IF(AND($C12="Goal",AE$7&gt;=$F12,AE$7&lt;=$F12+$G12-1),2,IF(AND($C12="Milestone",AE$7&gt;=$F12,AE$7&lt;=$F12+$G12-1),1,""))</f>
        <v/>
      </c>
      <c r="AF12" s="71" t="str">
        <f aca="false">IF(AND($C12="Goal",AF$7&gt;=$F12,AF$7&lt;=$F12+$G12-1),2,IF(AND($C12="Milestone",AF$7&gt;=$F12,AF$7&lt;=$F12+$G12-1),1,""))</f>
        <v/>
      </c>
      <c r="AG12" s="71" t="str">
        <f aca="false">IF(AND($C12="Goal",AG$7&gt;=$F12,AG$7&lt;=$F12+$G12-1),2,IF(AND($C12="Milestone",AG$7&gt;=$F12,AG$7&lt;=$F12+$G12-1),1,""))</f>
        <v/>
      </c>
      <c r="AH12" s="71" t="str">
        <f aca="false">IF(AND($C12="Goal",AH$7&gt;=$F12,AH$7&lt;=$F12+$G12-1),2,IF(AND($C12="Milestone",AH$7&gt;=$F12,AH$7&lt;=$F12+$G12-1),1,""))</f>
        <v/>
      </c>
      <c r="AI12" s="71" t="str">
        <f aca="false">IF(AND($C12="Goal",AI$7&gt;=$F12,AI$7&lt;=$F12+$G12-1),2,IF(AND($C12="Milestone",AI$7&gt;=$F12,AI$7&lt;=$F12+$G12-1),1,""))</f>
        <v/>
      </c>
      <c r="AJ12" s="71" t="str">
        <f aca="false">IF(AND($C12="Goal",AJ$7&gt;=$F12,AJ$7&lt;=$F12+$G12-1),2,IF(AND($C12="Milestone",AJ$7&gt;=$F12,AJ$7&lt;=$F12+$G12-1),1,""))</f>
        <v/>
      </c>
      <c r="AK12" s="71" t="str">
        <f aca="false">IF(AND($C12="Goal",AK$7&gt;=$F12,AK$7&lt;=$F12+$G12-1),2,IF(AND($C12="Milestone",AK$7&gt;=$F12,AK$7&lt;=$F12+$G12-1),1,""))</f>
        <v/>
      </c>
      <c r="AL12" s="71" t="str">
        <f aca="false">IF(AND($C12="Goal",AL$7&gt;=$F12,AL$7&lt;=$F12+$G12-1),2,IF(AND($C12="Milestone",AL$7&gt;=$F12,AL$7&lt;=$F12+$G12-1),1,""))</f>
        <v/>
      </c>
      <c r="AM12" s="71" t="str">
        <f aca="false">IF(AND($C12="Goal",AM$7&gt;=$F12,AM$7&lt;=$F12+$G12-1),2,IF(AND($C12="Milestone",AM$7&gt;=$F12,AM$7&lt;=$F12+$G12-1),1,""))</f>
        <v/>
      </c>
      <c r="AN12" s="71" t="str">
        <f aca="false">IF(AND($C12="Goal",AN$7&gt;=$F12,AN$7&lt;=$F12+$G12-1),2,IF(AND($C12="Milestone",AN$7&gt;=$F12,AN$7&lt;=$F12+$G12-1),1,""))</f>
        <v/>
      </c>
      <c r="AO12" s="71" t="str">
        <f aca="false">IF(AND($C12="Goal",AO$7&gt;=$F12,AO$7&lt;=$F12+$G12-1),2,IF(AND($C12="Milestone",AO$7&gt;=$F12,AO$7&lt;=$F12+$G12-1),1,""))</f>
        <v/>
      </c>
      <c r="AP12" s="71" t="str">
        <f aca="false">IF(AND($C12="Goal",AP$7&gt;=$F12,AP$7&lt;=$F12+$G12-1),2,IF(AND($C12="Milestone",AP$7&gt;=$F12,AP$7&lt;=$F12+$G12-1),1,""))</f>
        <v/>
      </c>
      <c r="AQ12" s="71" t="str">
        <f aca="false">IF(AND($C12="Goal",AQ$7&gt;=$F12,AQ$7&lt;=$F12+$G12-1),2,IF(AND($C12="Milestone",AQ$7&gt;=$F12,AQ$7&lt;=$F12+$G12-1),1,""))</f>
        <v/>
      </c>
      <c r="AR12" s="71" t="str">
        <f aca="false">IF(AND($C12="Goal",AR$7&gt;=$F12,AR$7&lt;=$F12+$G12-1),2,IF(AND($C12="Milestone",AR$7&gt;=$F12,AR$7&lt;=$F12+$G12-1),1,""))</f>
        <v/>
      </c>
      <c r="AS12" s="71" t="str">
        <f aca="false">IF(AND($C12="Goal",AS$7&gt;=$F12,AS$7&lt;=$F12+$G12-1),2,IF(AND($C12="Milestone",AS$7&gt;=$F12,AS$7&lt;=$F12+$G12-1),1,""))</f>
        <v/>
      </c>
      <c r="AT12" s="71" t="str">
        <f aca="false">IF(AND($C12="Goal",AT$7&gt;=$F12,AT$7&lt;=$F12+$G12-1),2,IF(AND($C12="Milestone",AT$7&gt;=$F12,AT$7&lt;=$F12+$G12-1),1,""))</f>
        <v/>
      </c>
      <c r="AU12" s="71" t="str">
        <f aca="false">IF(AND($C12="Goal",AU$7&gt;=$F12,AU$7&lt;=$F12+$G12-1),2,IF(AND($C12="Milestone",AU$7&gt;=$F12,AU$7&lt;=$F12+$G12-1),1,""))</f>
        <v/>
      </c>
      <c r="AV12" s="71" t="str">
        <f aca="false">IF(AND($C12="Goal",AV$7&gt;=$F12,AV$7&lt;=$F12+$G12-1),2,IF(AND($C12="Milestone",AV$7&gt;=$F12,AV$7&lt;=$F12+$G12-1),1,""))</f>
        <v/>
      </c>
      <c r="AW12" s="71" t="str">
        <f aca="false">IF(AND($C12="Goal",AW$7&gt;=$F12,AW$7&lt;=$F12+$G12-1),2,IF(AND($C12="Milestone",AW$7&gt;=$F12,AW$7&lt;=$F12+$G12-1),1,""))</f>
        <v/>
      </c>
      <c r="AX12" s="71" t="str">
        <f aca="false">IF(AND($C12="Goal",AX$7&gt;=$F12,AX$7&lt;=$F12+$G12-1),2,IF(AND($C12="Milestone",AX$7&gt;=$F12,AX$7&lt;=$F12+$G12-1),1,""))</f>
        <v/>
      </c>
      <c r="AY12" s="71" t="str">
        <f aca="false">IF(AND($C12="Goal",AY$7&gt;=$F12,AY$7&lt;=$F12+$G12-1),2,IF(AND($C12="Milestone",AY$7&gt;=$F12,AY$7&lt;=$F12+$G12-1),1,""))</f>
        <v/>
      </c>
      <c r="AZ12" s="71" t="str">
        <f aca="false">IF(AND($C12="Goal",AZ$7&gt;=$F12,AZ$7&lt;=$F12+$G12-1),2,IF(AND($C12="Milestone",AZ$7&gt;=$F12,AZ$7&lt;=$F12+$G12-1),1,""))</f>
        <v/>
      </c>
      <c r="BA12" s="71" t="str">
        <f aca="false">IF(AND($C12="Goal",BA$7&gt;=$F12,BA$7&lt;=$F12+$G12-1),2,IF(AND($C12="Milestone",BA$7&gt;=$F12,BA$7&lt;=$F12+$G12-1),1,""))</f>
        <v/>
      </c>
      <c r="BB12" s="71" t="str">
        <f aca="false">IF(AND($C12="Goal",BB$7&gt;=$F12,BB$7&lt;=$F12+$G12-1),2,IF(AND($C12="Milestone",BB$7&gt;=$F12,BB$7&lt;=$F12+$G12-1),1,""))</f>
        <v/>
      </c>
      <c r="BC12" s="71" t="str">
        <f aca="false">IF(AND($C12="Goal",BC$7&gt;=$F12,BC$7&lt;=$F12+$G12-1),2,IF(AND($C12="Milestone",BC$7&gt;=$F12,BC$7&lt;=$F12+$G12-1),1,""))</f>
        <v/>
      </c>
      <c r="BD12" s="71" t="str">
        <f aca="false">IF(AND($C12="Goal",BD$7&gt;=$F12,BD$7&lt;=$F12+$G12-1),2,IF(AND($C12="Milestone",BD$7&gt;=$F12,BD$7&lt;=$F12+$G12-1),1,""))</f>
        <v/>
      </c>
      <c r="BE12" s="71" t="str">
        <f aca="false">IF(AND($C12="Goal",BE$7&gt;=$F12,BE$7&lt;=$F12+$G12-1),2,IF(AND($C12="Milestone",BE$7&gt;=$F12,BE$7&lt;=$F12+$G12-1),1,""))</f>
        <v/>
      </c>
      <c r="BF12" s="71" t="str">
        <f aca="false">IF(AND($C12="Goal",BF$7&gt;=$F12,BF$7&lt;=$F12+$G12-1),2,IF(AND($C12="Milestone",BF$7&gt;=$F12,BF$7&lt;=$F12+$G12-1),1,""))</f>
        <v/>
      </c>
      <c r="BG12" s="71" t="str">
        <f aca="false">IF(AND($C12="Goal",BG$7&gt;=$F12,BG$7&lt;=$F12+$G12-1),2,IF(AND($C12="Milestone",BG$7&gt;=$F12,BG$7&lt;=$F12+$G12-1),1,""))</f>
        <v/>
      </c>
      <c r="BH12" s="71" t="str">
        <f aca="false">IF(AND($C12="Goal",BH$7&gt;=$F12,BH$7&lt;=$F12+$G12-1),2,IF(AND($C12="Milestone",BH$7&gt;=$F12,BH$7&lt;=$F12+$G12-1),1,""))</f>
        <v/>
      </c>
      <c r="BI12" s="71" t="str">
        <f aca="false">IF(AND($C12="Goal",BI$7&gt;=$F12,BI$7&lt;=$F12+$G12-1),2,IF(AND($C12="Milestone",BI$7&gt;=$F12,BI$7&lt;=$F12+$G12-1),1,""))</f>
        <v/>
      </c>
      <c r="BJ12" s="71" t="str">
        <f aca="false">IF(AND($C12="Goal",BJ$7&gt;=$F12,BJ$7&lt;=$F12+$G12-1),2,IF(AND($C12="Milestone",BJ$7&gt;=$F12,BJ$7&lt;=$F12+$G12-1),1,""))</f>
        <v/>
      </c>
      <c r="BK12" s="71" t="str">
        <f aca="false">IF(AND($C12="Goal",BK$7&gt;=$F12,BK$7&lt;=$F12+$G12-1),2,IF(AND($C12="Milestone",BK$7&gt;=$F12,BK$7&lt;=$F12+$G12-1),1,""))</f>
        <v/>
      </c>
      <c r="BL12" s="71" t="str">
        <f aca="false">IF(AND($C12="Goal",BL$7&gt;=$F12,BL$7&lt;=$F12+$G12-1),2,IF(AND($C12="Milestone",BL$7&gt;=$F12,BL$7&lt;=$F12+$G12-1),1,""))</f>
        <v/>
      </c>
    </row>
    <row r="13" s="25" customFormat="true" ht="39.75" hidden="false" customHeight="true" outlineLevel="0" collapsed="false">
      <c r="A13" s="15"/>
      <c r="B13" s="101" t="s">
        <v>84</v>
      </c>
      <c r="C13" s="67" t="s">
        <v>85</v>
      </c>
      <c r="D13" s="67"/>
      <c r="E13" s="68"/>
      <c r="F13" s="69" t="n">
        <f aca="true">TODAY()+5</f>
        <v>45970</v>
      </c>
      <c r="G13" s="70" t="n">
        <v>1</v>
      </c>
      <c r="H13" s="67"/>
      <c r="I13" s="71" t="str">
        <f aca="false">IF(AND($C13="Goal",I$7&gt;=$F13,I$7&lt;=$F13+$G13-1),2,IF(AND($C13="Milestone",I$7&gt;=$F13,I$7&lt;=$F13+$G13-1),1,""))</f>
        <v/>
      </c>
      <c r="J13" s="71" t="str">
        <f aca="false">IF(AND($C13="Goal",J$7&gt;=$F13,J$7&lt;=$F13+$G13-1),2,IF(AND($C13="Milestone",J$7&gt;=$F13,J$7&lt;=$F13+$G13-1),1,""))</f>
        <v/>
      </c>
      <c r="K13" s="71" t="str">
        <f aca="false">IF(AND($C13="Goal",K$7&gt;=$F13,K$7&lt;=$F13+$G13-1),2,IF(AND($C13="Milestone",K$7&gt;=$F13,K$7&lt;=$F13+$G13-1),1,""))</f>
        <v/>
      </c>
      <c r="L13" s="71" t="str">
        <f aca="false">IF(AND($C13="Goal",L$7&gt;=$F13,L$7&lt;=$F13+$G13-1),2,IF(AND($C13="Milestone",L$7&gt;=$F13,L$7&lt;=$F13+$G13-1),1,""))</f>
        <v/>
      </c>
      <c r="M13" s="71" t="str">
        <f aca="false">IF(AND($C13="Goal",M$7&gt;=$F13,M$7&lt;=$F13+$G13-1),2,IF(AND($C13="Milestone",M$7&gt;=$F13,M$7&lt;=$F13+$G13-1),1,""))</f>
        <v/>
      </c>
      <c r="N13" s="71" t="n">
        <f aca="false">IF(AND($C13="Goal",N$7&gt;=$F13,N$7&lt;=$F13+$G13-1),2,IF(AND($C13="Milestone",N$7&gt;=$F13,N$7&lt;=$F13+$G13-1),1,""))</f>
        <v>1</v>
      </c>
      <c r="O13" s="71" t="str">
        <f aca="false">IF(AND($C13="Goal",O$7&gt;=$F13,O$7&lt;=$F13+$G13-1),2,IF(AND($C13="Milestone",O$7&gt;=$F13,O$7&lt;=$F13+$G13-1),1,""))</f>
        <v/>
      </c>
      <c r="P13" s="71" t="str">
        <f aca="false">IF(AND($C13="Goal",P$7&gt;=$F13,P$7&lt;=$F13+$G13-1),2,IF(AND($C13="Milestone",P$7&gt;=$F13,P$7&lt;=$F13+$G13-1),1,""))</f>
        <v/>
      </c>
      <c r="Q13" s="71" t="str">
        <f aca="false">IF(AND($C13="Goal",Q$7&gt;=$F13,Q$7&lt;=$F13+$G13-1),2,IF(AND($C13="Milestone",Q$7&gt;=$F13,Q$7&lt;=$F13+$G13-1),1,""))</f>
        <v/>
      </c>
      <c r="R13" s="71" t="str">
        <f aca="false">IF(AND($C13="Goal",R$7&gt;=$F13,R$7&lt;=$F13+$G13-1),2,IF(AND($C13="Milestone",R$7&gt;=$F13,R$7&lt;=$F13+$G13-1),1,""))</f>
        <v/>
      </c>
      <c r="S13" s="71" t="str">
        <f aca="false">IF(AND($C13="Goal",S$7&gt;=$F13,S$7&lt;=$F13+$G13-1),2,IF(AND($C13="Milestone",S$7&gt;=$F13,S$7&lt;=$F13+$G13-1),1,""))</f>
        <v/>
      </c>
      <c r="T13" s="71" t="str">
        <f aca="false">IF(AND($C13="Goal",T$7&gt;=$F13,T$7&lt;=$F13+$G13-1),2,IF(AND($C13="Milestone",T$7&gt;=$F13,T$7&lt;=$F13+$G13-1),1,""))</f>
        <v/>
      </c>
      <c r="U13" s="71" t="str">
        <f aca="false">IF(AND($C13="Goal",U$7&gt;=$F13,U$7&lt;=$F13+$G13-1),2,IF(AND($C13="Milestone",U$7&gt;=$F13,U$7&lt;=$F13+$G13-1),1,""))</f>
        <v/>
      </c>
      <c r="V13" s="71" t="str">
        <f aca="false">IF(AND($C13="Goal",V$7&gt;=$F13,V$7&lt;=$F13+$G13-1),2,IF(AND($C13="Milestone",V$7&gt;=$F13,V$7&lt;=$F13+$G13-1),1,""))</f>
        <v/>
      </c>
      <c r="W13" s="71" t="str">
        <f aca="false">IF(AND($C13="Goal",W$7&gt;=$F13,W$7&lt;=$F13+$G13-1),2,IF(AND($C13="Milestone",W$7&gt;=$F13,W$7&lt;=$F13+$G13-1),1,""))</f>
        <v/>
      </c>
      <c r="X13" s="71" t="str">
        <f aca="false">IF(AND($C13="Goal",X$7&gt;=$F13,X$7&lt;=$F13+$G13-1),2,IF(AND($C13="Milestone",X$7&gt;=$F13,X$7&lt;=$F13+$G13-1),1,""))</f>
        <v/>
      </c>
      <c r="Y13" s="71" t="str">
        <f aca="false">IF(AND($C13="Goal",Y$7&gt;=$F13,Y$7&lt;=$F13+$G13-1),2,IF(AND($C13="Milestone",Y$7&gt;=$F13,Y$7&lt;=$F13+$G13-1),1,""))</f>
        <v/>
      </c>
      <c r="Z13" s="71" t="str">
        <f aca="false">IF(AND($C13="Goal",Z$7&gt;=$F13,Z$7&lt;=$F13+$G13-1),2,IF(AND($C13="Milestone",Z$7&gt;=$F13,Z$7&lt;=$F13+$G13-1),1,""))</f>
        <v/>
      </c>
      <c r="AA13" s="71" t="str">
        <f aca="false">IF(AND($C13="Goal",AA$7&gt;=$F13,AA$7&lt;=$F13+$G13-1),2,IF(AND($C13="Milestone",AA$7&gt;=$F13,AA$7&lt;=$F13+$G13-1),1,""))</f>
        <v/>
      </c>
      <c r="AB13" s="71" t="str">
        <f aca="false">IF(AND($C13="Goal",AB$7&gt;=$F13,AB$7&lt;=$F13+$G13-1),2,IF(AND($C13="Milestone",AB$7&gt;=$F13,AB$7&lt;=$F13+$G13-1),1,""))</f>
        <v/>
      </c>
      <c r="AC13" s="71" t="str">
        <f aca="false">IF(AND($C13="Goal",AC$7&gt;=$F13,AC$7&lt;=$F13+$G13-1),2,IF(AND($C13="Milestone",AC$7&gt;=$F13,AC$7&lt;=$F13+$G13-1),1,""))</f>
        <v/>
      </c>
      <c r="AD13" s="71" t="str">
        <f aca="false">IF(AND($C13="Goal",AD$7&gt;=$F13,AD$7&lt;=$F13+$G13-1),2,IF(AND($C13="Milestone",AD$7&gt;=$F13,AD$7&lt;=$F13+$G13-1),1,""))</f>
        <v/>
      </c>
      <c r="AE13" s="71" t="str">
        <f aca="false">IF(AND($C13="Goal",AE$7&gt;=$F13,AE$7&lt;=$F13+$G13-1),2,IF(AND($C13="Milestone",AE$7&gt;=$F13,AE$7&lt;=$F13+$G13-1),1,""))</f>
        <v/>
      </c>
      <c r="AF13" s="71" t="str">
        <f aca="false">IF(AND($C13="Goal",AF$7&gt;=$F13,AF$7&lt;=$F13+$G13-1),2,IF(AND($C13="Milestone",AF$7&gt;=$F13,AF$7&lt;=$F13+$G13-1),1,""))</f>
        <v/>
      </c>
      <c r="AG13" s="71" t="str">
        <f aca="false">IF(AND($C13="Goal",AG$7&gt;=$F13,AG$7&lt;=$F13+$G13-1),2,IF(AND($C13="Milestone",AG$7&gt;=$F13,AG$7&lt;=$F13+$G13-1),1,""))</f>
        <v/>
      </c>
      <c r="AH13" s="71" t="str">
        <f aca="false">IF(AND($C13="Goal",AH$7&gt;=$F13,AH$7&lt;=$F13+$G13-1),2,IF(AND($C13="Milestone",AH$7&gt;=$F13,AH$7&lt;=$F13+$G13-1),1,""))</f>
        <v/>
      </c>
      <c r="AI13" s="71" t="str">
        <f aca="false">IF(AND($C13="Goal",AI$7&gt;=$F13,AI$7&lt;=$F13+$G13-1),2,IF(AND($C13="Milestone",AI$7&gt;=$F13,AI$7&lt;=$F13+$G13-1),1,""))</f>
        <v/>
      </c>
      <c r="AJ13" s="71" t="str">
        <f aca="false">IF(AND($C13="Goal",AJ$7&gt;=$F13,AJ$7&lt;=$F13+$G13-1),2,IF(AND($C13="Milestone",AJ$7&gt;=$F13,AJ$7&lt;=$F13+$G13-1),1,""))</f>
        <v/>
      </c>
      <c r="AK13" s="71" t="str">
        <f aca="false">IF(AND($C13="Goal",AK$7&gt;=$F13,AK$7&lt;=$F13+$G13-1),2,IF(AND($C13="Milestone",AK$7&gt;=$F13,AK$7&lt;=$F13+$G13-1),1,""))</f>
        <v/>
      </c>
      <c r="AL13" s="71" t="str">
        <f aca="false">IF(AND($C13="Goal",AL$7&gt;=$F13,AL$7&lt;=$F13+$G13-1),2,IF(AND($C13="Milestone",AL$7&gt;=$F13,AL$7&lt;=$F13+$G13-1),1,""))</f>
        <v/>
      </c>
      <c r="AM13" s="71" t="str">
        <f aca="false">IF(AND($C13="Goal",AM$7&gt;=$F13,AM$7&lt;=$F13+$G13-1),2,IF(AND($C13="Milestone",AM$7&gt;=$F13,AM$7&lt;=$F13+$G13-1),1,""))</f>
        <v/>
      </c>
      <c r="AN13" s="71" t="str">
        <f aca="false">IF(AND($C13="Goal",AN$7&gt;=$F13,AN$7&lt;=$F13+$G13-1),2,IF(AND($C13="Milestone",AN$7&gt;=$F13,AN$7&lt;=$F13+$G13-1),1,""))</f>
        <v/>
      </c>
      <c r="AO13" s="71" t="str">
        <f aca="false">IF(AND($C13="Goal",AO$7&gt;=$F13,AO$7&lt;=$F13+$G13-1),2,IF(AND($C13="Milestone",AO$7&gt;=$F13,AO$7&lt;=$F13+$G13-1),1,""))</f>
        <v/>
      </c>
      <c r="AP13" s="71" t="str">
        <f aca="false">IF(AND($C13="Goal",AP$7&gt;=$F13,AP$7&lt;=$F13+$G13-1),2,IF(AND($C13="Milestone",AP$7&gt;=$F13,AP$7&lt;=$F13+$G13-1),1,""))</f>
        <v/>
      </c>
      <c r="AQ13" s="71" t="str">
        <f aca="false">IF(AND($C13="Goal",AQ$7&gt;=$F13,AQ$7&lt;=$F13+$G13-1),2,IF(AND($C13="Milestone",AQ$7&gt;=$F13,AQ$7&lt;=$F13+$G13-1),1,""))</f>
        <v/>
      </c>
      <c r="AR13" s="71" t="str">
        <f aca="false">IF(AND($C13="Goal",AR$7&gt;=$F13,AR$7&lt;=$F13+$G13-1),2,IF(AND($C13="Milestone",AR$7&gt;=$F13,AR$7&lt;=$F13+$G13-1),1,""))</f>
        <v/>
      </c>
      <c r="AS13" s="71" t="str">
        <f aca="false">IF(AND($C13="Goal",AS$7&gt;=$F13,AS$7&lt;=$F13+$G13-1),2,IF(AND($C13="Milestone",AS$7&gt;=$F13,AS$7&lt;=$F13+$G13-1),1,""))</f>
        <v/>
      </c>
      <c r="AT13" s="71" t="str">
        <f aca="false">IF(AND($C13="Goal",AT$7&gt;=$F13,AT$7&lt;=$F13+$G13-1),2,IF(AND($C13="Milestone",AT$7&gt;=$F13,AT$7&lt;=$F13+$G13-1),1,""))</f>
        <v/>
      </c>
      <c r="AU13" s="71" t="str">
        <f aca="false">IF(AND($C13="Goal",AU$7&gt;=$F13,AU$7&lt;=$F13+$G13-1),2,IF(AND($C13="Milestone",AU$7&gt;=$F13,AU$7&lt;=$F13+$G13-1),1,""))</f>
        <v/>
      </c>
      <c r="AV13" s="71" t="str">
        <f aca="false">IF(AND($C13="Goal",AV$7&gt;=$F13,AV$7&lt;=$F13+$G13-1),2,IF(AND($C13="Milestone",AV$7&gt;=$F13,AV$7&lt;=$F13+$G13-1),1,""))</f>
        <v/>
      </c>
      <c r="AW13" s="71" t="str">
        <f aca="false">IF(AND($C13="Goal",AW$7&gt;=$F13,AW$7&lt;=$F13+$G13-1),2,IF(AND($C13="Milestone",AW$7&gt;=$F13,AW$7&lt;=$F13+$G13-1),1,""))</f>
        <v/>
      </c>
      <c r="AX13" s="71" t="str">
        <f aca="false">IF(AND($C13="Goal",AX$7&gt;=$F13,AX$7&lt;=$F13+$G13-1),2,IF(AND($C13="Milestone",AX$7&gt;=$F13,AX$7&lt;=$F13+$G13-1),1,""))</f>
        <v/>
      </c>
      <c r="AY13" s="71" t="str">
        <f aca="false">IF(AND($C13="Goal",AY$7&gt;=$F13,AY$7&lt;=$F13+$G13-1),2,IF(AND($C13="Milestone",AY$7&gt;=$F13,AY$7&lt;=$F13+$G13-1),1,""))</f>
        <v/>
      </c>
      <c r="AZ13" s="71" t="str">
        <f aca="false">IF(AND($C13="Goal",AZ$7&gt;=$F13,AZ$7&lt;=$F13+$G13-1),2,IF(AND($C13="Milestone",AZ$7&gt;=$F13,AZ$7&lt;=$F13+$G13-1),1,""))</f>
        <v/>
      </c>
      <c r="BA13" s="71" t="str">
        <f aca="false">IF(AND($C13="Goal",BA$7&gt;=$F13,BA$7&lt;=$F13+$G13-1),2,IF(AND($C13="Milestone",BA$7&gt;=$F13,BA$7&lt;=$F13+$G13-1),1,""))</f>
        <v/>
      </c>
      <c r="BB13" s="71" t="str">
        <f aca="false">IF(AND($C13="Goal",BB$7&gt;=$F13,BB$7&lt;=$F13+$G13-1),2,IF(AND($C13="Milestone",BB$7&gt;=$F13,BB$7&lt;=$F13+$G13-1),1,""))</f>
        <v/>
      </c>
      <c r="BC13" s="71" t="str">
        <f aca="false">IF(AND($C13="Goal",BC$7&gt;=$F13,BC$7&lt;=$F13+$G13-1),2,IF(AND($C13="Milestone",BC$7&gt;=$F13,BC$7&lt;=$F13+$G13-1),1,""))</f>
        <v/>
      </c>
      <c r="BD13" s="71" t="str">
        <f aca="false">IF(AND($C13="Goal",BD$7&gt;=$F13,BD$7&lt;=$F13+$G13-1),2,IF(AND($C13="Milestone",BD$7&gt;=$F13,BD$7&lt;=$F13+$G13-1),1,""))</f>
        <v/>
      </c>
      <c r="BE13" s="71" t="str">
        <f aca="false">IF(AND($C13="Goal",BE$7&gt;=$F13,BE$7&lt;=$F13+$G13-1),2,IF(AND($C13="Milestone",BE$7&gt;=$F13,BE$7&lt;=$F13+$G13-1),1,""))</f>
        <v/>
      </c>
      <c r="BF13" s="71" t="str">
        <f aca="false">IF(AND($C13="Goal",BF$7&gt;=$F13,BF$7&lt;=$F13+$G13-1),2,IF(AND($C13="Milestone",BF$7&gt;=$F13,BF$7&lt;=$F13+$G13-1),1,""))</f>
        <v/>
      </c>
      <c r="BG13" s="71" t="str">
        <f aca="false">IF(AND($C13="Goal",BG$7&gt;=$F13,BG$7&lt;=$F13+$G13-1),2,IF(AND($C13="Milestone",BG$7&gt;=$F13,BG$7&lt;=$F13+$G13-1),1,""))</f>
        <v/>
      </c>
      <c r="BH13" s="71" t="str">
        <f aca="false">IF(AND($C13="Goal",BH$7&gt;=$F13,BH$7&lt;=$F13+$G13-1),2,IF(AND($C13="Milestone",BH$7&gt;=$F13,BH$7&lt;=$F13+$G13-1),1,""))</f>
        <v/>
      </c>
      <c r="BI13" s="71" t="str">
        <f aca="false">IF(AND($C13="Goal",BI$7&gt;=$F13,BI$7&lt;=$F13+$G13-1),2,IF(AND($C13="Milestone",BI$7&gt;=$F13,BI$7&lt;=$F13+$G13-1),1,""))</f>
        <v/>
      </c>
      <c r="BJ13" s="71" t="str">
        <f aca="false">IF(AND($C13="Goal",BJ$7&gt;=$F13,BJ$7&lt;=$F13+$G13-1),2,IF(AND($C13="Milestone",BJ$7&gt;=$F13,BJ$7&lt;=$F13+$G13-1),1,""))</f>
        <v/>
      </c>
      <c r="BK13" s="71" t="str">
        <f aca="false">IF(AND($C13="Goal",BK$7&gt;=$F13,BK$7&lt;=$F13+$G13-1),2,IF(AND($C13="Milestone",BK$7&gt;=$F13,BK$7&lt;=$F13+$G13-1),1,""))</f>
        <v/>
      </c>
      <c r="BL13" s="71" t="str">
        <f aca="false">IF(AND($C13="Goal",BL$7&gt;=$F13,BL$7&lt;=$F13+$G13-1),2,IF(AND($C13="Milestone",BL$7&gt;=$F13,BL$7&lt;=$F13+$G13-1),1,""))</f>
        <v/>
      </c>
    </row>
    <row r="14" s="25" customFormat="true" ht="39.75" hidden="false" customHeight="true" outlineLevel="0" collapsed="false">
      <c r="A14" s="13"/>
      <c r="B14" s="101" t="s">
        <v>86</v>
      </c>
      <c r="C14" s="67" t="s">
        <v>23</v>
      </c>
      <c r="D14" s="67"/>
      <c r="E14" s="68" t="n">
        <v>0.5</v>
      </c>
      <c r="F14" s="69" t="n">
        <f aca="false">F12-3</f>
        <v>45962</v>
      </c>
      <c r="G14" s="70" t="n">
        <v>10</v>
      </c>
      <c r="H14" s="67"/>
      <c r="I14" s="71" t="str">
        <f aca="false">IF(AND($C14="Goal",I$7&gt;=$F14,I$7&lt;=$F14+$G14-1),2,IF(AND($C14="Milestone",I$7&gt;=$F14,I$7&lt;=$F14+$G14-1),1,""))</f>
        <v/>
      </c>
      <c r="J14" s="71" t="str">
        <f aca="false">IF(AND($C14="Goal",J$7&gt;=$F14,J$7&lt;=$F14+$G14-1),2,IF(AND($C14="Milestone",J$7&gt;=$F14,J$7&lt;=$F14+$G14-1),1,""))</f>
        <v/>
      </c>
      <c r="K14" s="71" t="str">
        <f aca="false">IF(AND($C14="Goal",K$7&gt;=$F14,K$7&lt;=$F14+$G14-1),2,IF(AND($C14="Milestone",K$7&gt;=$F14,K$7&lt;=$F14+$G14-1),1,""))</f>
        <v/>
      </c>
      <c r="L14" s="71" t="str">
        <f aca="false">IF(AND($C14="Goal",L$7&gt;=$F14,L$7&lt;=$F14+$G14-1),2,IF(AND($C14="Milestone",L$7&gt;=$F14,L$7&lt;=$F14+$G14-1),1,""))</f>
        <v/>
      </c>
      <c r="M14" s="71" t="str">
        <f aca="false">IF(AND($C14="Goal",M$7&gt;=$F14,M$7&lt;=$F14+$G14-1),2,IF(AND($C14="Milestone",M$7&gt;=$F14,M$7&lt;=$F14+$G14-1),1,""))</f>
        <v/>
      </c>
      <c r="N14" s="71" t="str">
        <f aca="false">IF(AND($C14="Goal",N$7&gt;=$F14,N$7&lt;=$F14+$G14-1),2,IF(AND($C14="Milestone",N$7&gt;=$F14,N$7&lt;=$F14+$G14-1),1,""))</f>
        <v/>
      </c>
      <c r="O14" s="71" t="str">
        <f aca="false">IF(AND($C14="Goal",O$7&gt;=$F14,O$7&lt;=$F14+$G14-1),2,IF(AND($C14="Milestone",O$7&gt;=$F14,O$7&lt;=$F14+$G14-1),1,""))</f>
        <v/>
      </c>
      <c r="P14" s="71" t="str">
        <f aca="false">IF(AND($C14="Goal",P$7&gt;=$F14,P$7&lt;=$F14+$G14-1),2,IF(AND($C14="Milestone",P$7&gt;=$F14,P$7&lt;=$F14+$G14-1),1,""))</f>
        <v/>
      </c>
      <c r="Q14" s="71" t="str">
        <f aca="false">IF(AND($C14="Goal",Q$7&gt;=$F14,Q$7&lt;=$F14+$G14-1),2,IF(AND($C14="Milestone",Q$7&gt;=$F14,Q$7&lt;=$F14+$G14-1),1,""))</f>
        <v/>
      </c>
      <c r="R14" s="71" t="str">
        <f aca="false">IF(AND($C14="Goal",R$7&gt;=$F14,R$7&lt;=$F14+$G14-1),2,IF(AND($C14="Milestone",R$7&gt;=$F14,R$7&lt;=$F14+$G14-1),1,""))</f>
        <v/>
      </c>
      <c r="S14" s="71" t="str">
        <f aca="false">IF(AND($C14="Goal",S$7&gt;=$F14,S$7&lt;=$F14+$G14-1),2,IF(AND($C14="Milestone",S$7&gt;=$F14,S$7&lt;=$F14+$G14-1),1,""))</f>
        <v/>
      </c>
      <c r="T14" s="71" t="str">
        <f aca="false">IF(AND($C14="Goal",T$7&gt;=$F14,T$7&lt;=$F14+$G14-1),2,IF(AND($C14="Milestone",T$7&gt;=$F14,T$7&lt;=$F14+$G14-1),1,""))</f>
        <v/>
      </c>
      <c r="U14" s="71" t="str">
        <f aca="false">IF(AND($C14="Goal",U$7&gt;=$F14,U$7&lt;=$F14+$G14-1),2,IF(AND($C14="Milestone",U$7&gt;=$F14,U$7&lt;=$F14+$G14-1),1,""))</f>
        <v/>
      </c>
      <c r="V14" s="71" t="str">
        <f aca="false">IF(AND($C14="Goal",V$7&gt;=$F14,V$7&lt;=$F14+$G14-1),2,IF(AND($C14="Milestone",V$7&gt;=$F14,V$7&lt;=$F14+$G14-1),1,""))</f>
        <v/>
      </c>
      <c r="W14" s="71" t="str">
        <f aca="false">IF(AND($C14="Goal",W$7&gt;=$F14,W$7&lt;=$F14+$G14-1),2,IF(AND($C14="Milestone",W$7&gt;=$F14,W$7&lt;=$F14+$G14-1),1,""))</f>
        <v/>
      </c>
      <c r="X14" s="71" t="str">
        <f aca="false">IF(AND($C14="Goal",X$7&gt;=$F14,X$7&lt;=$F14+$G14-1),2,IF(AND($C14="Milestone",X$7&gt;=$F14,X$7&lt;=$F14+$G14-1),1,""))</f>
        <v/>
      </c>
      <c r="Y14" s="71" t="str">
        <f aca="false">IF(AND($C14="Goal",Y$7&gt;=$F14,Y$7&lt;=$F14+$G14-1),2,IF(AND($C14="Milestone",Y$7&gt;=$F14,Y$7&lt;=$F14+$G14-1),1,""))</f>
        <v/>
      </c>
      <c r="Z14" s="71" t="str">
        <f aca="false">IF(AND($C14="Goal",Z$7&gt;=$F14,Z$7&lt;=$F14+$G14-1),2,IF(AND($C14="Milestone",Z$7&gt;=$F14,Z$7&lt;=$F14+$G14-1),1,""))</f>
        <v/>
      </c>
      <c r="AA14" s="71" t="str">
        <f aca="false">IF(AND($C14="Goal",AA$7&gt;=$F14,AA$7&lt;=$F14+$G14-1),2,IF(AND($C14="Milestone",AA$7&gt;=$F14,AA$7&lt;=$F14+$G14-1),1,""))</f>
        <v/>
      </c>
      <c r="AB14" s="71" t="str">
        <f aca="false">IF(AND($C14="Goal",AB$7&gt;=$F14,AB$7&lt;=$F14+$G14-1),2,IF(AND($C14="Milestone",AB$7&gt;=$F14,AB$7&lt;=$F14+$G14-1),1,""))</f>
        <v/>
      </c>
      <c r="AC14" s="71" t="str">
        <f aca="false">IF(AND($C14="Goal",AC$7&gt;=$F14,AC$7&lt;=$F14+$G14-1),2,IF(AND($C14="Milestone",AC$7&gt;=$F14,AC$7&lt;=$F14+$G14-1),1,""))</f>
        <v/>
      </c>
      <c r="AD14" s="71" t="str">
        <f aca="false">IF(AND($C14="Goal",AD$7&gt;=$F14,AD$7&lt;=$F14+$G14-1),2,IF(AND($C14="Milestone",AD$7&gt;=$F14,AD$7&lt;=$F14+$G14-1),1,""))</f>
        <v/>
      </c>
      <c r="AE14" s="71" t="str">
        <f aca="false">IF(AND($C14="Goal",AE$7&gt;=$F14,AE$7&lt;=$F14+$G14-1),2,IF(AND($C14="Milestone",AE$7&gt;=$F14,AE$7&lt;=$F14+$G14-1),1,""))</f>
        <v/>
      </c>
      <c r="AF14" s="71" t="str">
        <f aca="false">IF(AND($C14="Goal",AF$7&gt;=$F14,AF$7&lt;=$F14+$G14-1),2,IF(AND($C14="Milestone",AF$7&gt;=$F14,AF$7&lt;=$F14+$G14-1),1,""))</f>
        <v/>
      </c>
      <c r="AG14" s="71" t="str">
        <f aca="false">IF(AND($C14="Goal",AG$7&gt;=$F14,AG$7&lt;=$F14+$G14-1),2,IF(AND($C14="Milestone",AG$7&gt;=$F14,AG$7&lt;=$F14+$G14-1),1,""))</f>
        <v/>
      </c>
      <c r="AH14" s="71" t="str">
        <f aca="false">IF(AND($C14="Goal",AH$7&gt;=$F14,AH$7&lt;=$F14+$G14-1),2,IF(AND($C14="Milestone",AH$7&gt;=$F14,AH$7&lt;=$F14+$G14-1),1,""))</f>
        <v/>
      </c>
      <c r="AI14" s="71" t="str">
        <f aca="false">IF(AND($C14="Goal",AI$7&gt;=$F14,AI$7&lt;=$F14+$G14-1),2,IF(AND($C14="Milestone",AI$7&gt;=$F14,AI$7&lt;=$F14+$G14-1),1,""))</f>
        <v/>
      </c>
      <c r="AJ14" s="71" t="str">
        <f aca="false">IF(AND($C14="Goal",AJ$7&gt;=$F14,AJ$7&lt;=$F14+$G14-1),2,IF(AND($C14="Milestone",AJ$7&gt;=$F14,AJ$7&lt;=$F14+$G14-1),1,""))</f>
        <v/>
      </c>
      <c r="AK14" s="71" t="str">
        <f aca="false">IF(AND($C14="Goal",AK$7&gt;=$F14,AK$7&lt;=$F14+$G14-1),2,IF(AND($C14="Milestone",AK$7&gt;=$F14,AK$7&lt;=$F14+$G14-1),1,""))</f>
        <v/>
      </c>
      <c r="AL14" s="71" t="str">
        <f aca="false">IF(AND($C14="Goal",AL$7&gt;=$F14,AL$7&lt;=$F14+$G14-1),2,IF(AND($C14="Milestone",AL$7&gt;=$F14,AL$7&lt;=$F14+$G14-1),1,""))</f>
        <v/>
      </c>
      <c r="AM14" s="71" t="str">
        <f aca="false">IF(AND($C14="Goal",AM$7&gt;=$F14,AM$7&lt;=$F14+$G14-1),2,IF(AND($C14="Milestone",AM$7&gt;=$F14,AM$7&lt;=$F14+$G14-1),1,""))</f>
        <v/>
      </c>
      <c r="AN14" s="71" t="str">
        <f aca="false">IF(AND($C14="Goal",AN$7&gt;=$F14,AN$7&lt;=$F14+$G14-1),2,IF(AND($C14="Milestone",AN$7&gt;=$F14,AN$7&lt;=$F14+$G14-1),1,""))</f>
        <v/>
      </c>
      <c r="AO14" s="71" t="str">
        <f aca="false">IF(AND($C14="Goal",AO$7&gt;=$F14,AO$7&lt;=$F14+$G14-1),2,IF(AND($C14="Milestone",AO$7&gt;=$F14,AO$7&lt;=$F14+$G14-1),1,""))</f>
        <v/>
      </c>
      <c r="AP14" s="71" t="str">
        <f aca="false">IF(AND($C14="Goal",AP$7&gt;=$F14,AP$7&lt;=$F14+$G14-1),2,IF(AND($C14="Milestone",AP$7&gt;=$F14,AP$7&lt;=$F14+$G14-1),1,""))</f>
        <v/>
      </c>
      <c r="AQ14" s="71" t="str">
        <f aca="false">IF(AND($C14="Goal",AQ$7&gt;=$F14,AQ$7&lt;=$F14+$G14-1),2,IF(AND($C14="Milestone",AQ$7&gt;=$F14,AQ$7&lt;=$F14+$G14-1),1,""))</f>
        <v/>
      </c>
      <c r="AR14" s="71" t="str">
        <f aca="false">IF(AND($C14="Goal",AR$7&gt;=$F14,AR$7&lt;=$F14+$G14-1),2,IF(AND($C14="Milestone",AR$7&gt;=$F14,AR$7&lt;=$F14+$G14-1),1,""))</f>
        <v/>
      </c>
      <c r="AS14" s="71" t="str">
        <f aca="false">IF(AND($C14="Goal",AS$7&gt;=$F14,AS$7&lt;=$F14+$G14-1),2,IF(AND($C14="Milestone",AS$7&gt;=$F14,AS$7&lt;=$F14+$G14-1),1,""))</f>
        <v/>
      </c>
      <c r="AT14" s="71" t="str">
        <f aca="false">IF(AND($C14="Goal",AT$7&gt;=$F14,AT$7&lt;=$F14+$G14-1),2,IF(AND($C14="Milestone",AT$7&gt;=$F14,AT$7&lt;=$F14+$G14-1),1,""))</f>
        <v/>
      </c>
      <c r="AU14" s="71" t="str">
        <f aca="false">IF(AND($C14="Goal",AU$7&gt;=$F14,AU$7&lt;=$F14+$G14-1),2,IF(AND($C14="Milestone",AU$7&gt;=$F14,AU$7&lt;=$F14+$G14-1),1,""))</f>
        <v/>
      </c>
      <c r="AV14" s="71" t="str">
        <f aca="false">IF(AND($C14="Goal",AV$7&gt;=$F14,AV$7&lt;=$F14+$G14-1),2,IF(AND($C14="Milestone",AV$7&gt;=$F14,AV$7&lt;=$F14+$G14-1),1,""))</f>
        <v/>
      </c>
      <c r="AW14" s="71" t="str">
        <f aca="false">IF(AND($C14="Goal",AW$7&gt;=$F14,AW$7&lt;=$F14+$G14-1),2,IF(AND($C14="Milestone",AW$7&gt;=$F14,AW$7&lt;=$F14+$G14-1),1,""))</f>
        <v/>
      </c>
      <c r="AX14" s="71" t="str">
        <f aca="false">IF(AND($C14="Goal",AX$7&gt;=$F14,AX$7&lt;=$F14+$G14-1),2,IF(AND($C14="Milestone",AX$7&gt;=$F14,AX$7&lt;=$F14+$G14-1),1,""))</f>
        <v/>
      </c>
      <c r="AY14" s="71" t="str">
        <f aca="false">IF(AND($C14="Goal",AY$7&gt;=$F14,AY$7&lt;=$F14+$G14-1),2,IF(AND($C14="Milestone",AY$7&gt;=$F14,AY$7&lt;=$F14+$G14-1),1,""))</f>
        <v/>
      </c>
      <c r="AZ14" s="71" t="str">
        <f aca="false">IF(AND($C14="Goal",AZ$7&gt;=$F14,AZ$7&lt;=$F14+$G14-1),2,IF(AND($C14="Milestone",AZ$7&gt;=$F14,AZ$7&lt;=$F14+$G14-1),1,""))</f>
        <v/>
      </c>
      <c r="BA14" s="71" t="str">
        <f aca="false">IF(AND($C14="Goal",BA$7&gt;=$F14,BA$7&lt;=$F14+$G14-1),2,IF(AND($C14="Milestone",BA$7&gt;=$F14,BA$7&lt;=$F14+$G14-1),1,""))</f>
        <v/>
      </c>
      <c r="BB14" s="71" t="str">
        <f aca="false">IF(AND($C14="Goal",BB$7&gt;=$F14,BB$7&lt;=$F14+$G14-1),2,IF(AND($C14="Milestone",BB$7&gt;=$F14,BB$7&lt;=$F14+$G14-1),1,""))</f>
        <v/>
      </c>
      <c r="BC14" s="71" t="str">
        <f aca="false">IF(AND($C14="Goal",BC$7&gt;=$F14,BC$7&lt;=$F14+$G14-1),2,IF(AND($C14="Milestone",BC$7&gt;=$F14,BC$7&lt;=$F14+$G14-1),1,""))</f>
        <v/>
      </c>
      <c r="BD14" s="71" t="str">
        <f aca="false">IF(AND($C14="Goal",BD$7&gt;=$F14,BD$7&lt;=$F14+$G14-1),2,IF(AND($C14="Milestone",BD$7&gt;=$F14,BD$7&lt;=$F14+$G14-1),1,""))</f>
        <v/>
      </c>
      <c r="BE14" s="71" t="str">
        <f aca="false">IF(AND($C14="Goal",BE$7&gt;=$F14,BE$7&lt;=$F14+$G14-1),2,IF(AND($C14="Milestone",BE$7&gt;=$F14,BE$7&lt;=$F14+$G14-1),1,""))</f>
        <v/>
      </c>
      <c r="BF14" s="71" t="str">
        <f aca="false">IF(AND($C14="Goal",BF$7&gt;=$F14,BF$7&lt;=$F14+$G14-1),2,IF(AND($C14="Milestone",BF$7&gt;=$F14,BF$7&lt;=$F14+$G14-1),1,""))</f>
        <v/>
      </c>
      <c r="BG14" s="71" t="str">
        <f aca="false">IF(AND($C14="Goal",BG$7&gt;=$F14,BG$7&lt;=$F14+$G14-1),2,IF(AND($C14="Milestone",BG$7&gt;=$F14,BG$7&lt;=$F14+$G14-1),1,""))</f>
        <v/>
      </c>
      <c r="BH14" s="71" t="str">
        <f aca="false">IF(AND($C14="Goal",BH$7&gt;=$F14,BH$7&lt;=$F14+$G14-1),2,IF(AND($C14="Milestone",BH$7&gt;=$F14,BH$7&lt;=$F14+$G14-1),1,""))</f>
        <v/>
      </c>
      <c r="BI14" s="71" t="str">
        <f aca="false">IF(AND($C14="Goal",BI$7&gt;=$F14,BI$7&lt;=$F14+$G14-1),2,IF(AND($C14="Milestone",BI$7&gt;=$F14,BI$7&lt;=$F14+$G14-1),1,""))</f>
        <v/>
      </c>
      <c r="BJ14" s="71" t="str">
        <f aca="false">IF(AND($C14="Goal",BJ$7&gt;=$F14,BJ$7&lt;=$F14+$G14-1),2,IF(AND($C14="Milestone",BJ$7&gt;=$F14,BJ$7&lt;=$F14+$G14-1),1,""))</f>
        <v/>
      </c>
      <c r="BK14" s="71" t="str">
        <f aca="false">IF(AND($C14="Goal",BK$7&gt;=$F14,BK$7&lt;=$F14+$G14-1),2,IF(AND($C14="Milestone",BK$7&gt;=$F14,BK$7&lt;=$F14+$G14-1),1,""))</f>
        <v/>
      </c>
      <c r="BL14" s="71" t="str">
        <f aca="false">IF(AND($C14="Goal",BL$7&gt;=$F14,BL$7&lt;=$F14+$G14-1),2,IF(AND($C14="Milestone",BL$7&gt;=$F14,BL$7&lt;=$F14+$G14-1),1,""))</f>
        <v/>
      </c>
    </row>
    <row r="15" s="25" customFormat="true" ht="39.75" hidden="false" customHeight="true" outlineLevel="0" collapsed="false">
      <c r="A15" s="13"/>
      <c r="B15" s="101" t="s">
        <v>87</v>
      </c>
      <c r="C15" s="67" t="s">
        <v>85</v>
      </c>
      <c r="D15" s="67"/>
      <c r="E15" s="68"/>
      <c r="F15" s="69" t="n">
        <f aca="false">F12+20</f>
        <v>45985</v>
      </c>
      <c r="G15" s="70" t="n">
        <v>1</v>
      </c>
      <c r="H15" s="67"/>
      <c r="I15" s="71" t="str">
        <f aca="false">IF(AND($C15="Goal",I$7&gt;=$F15,I$7&lt;=$F15+$G15-1),2,IF(AND($C15="Milestone",I$7&gt;=$F15,I$7&lt;=$F15+$G15-1),1,""))</f>
        <v/>
      </c>
      <c r="J15" s="71" t="str">
        <f aca="false">IF(AND($C15="Goal",J$7&gt;=$F15,J$7&lt;=$F15+$G15-1),2,IF(AND($C15="Milestone",J$7&gt;=$F15,J$7&lt;=$F15+$G15-1),1,""))</f>
        <v/>
      </c>
      <c r="K15" s="71" t="str">
        <f aca="false">IF(AND($C15="Goal",K$7&gt;=$F15,K$7&lt;=$F15+$G15-1),2,IF(AND($C15="Milestone",K$7&gt;=$F15,K$7&lt;=$F15+$G15-1),1,""))</f>
        <v/>
      </c>
      <c r="L15" s="71" t="str">
        <f aca="false">IF(AND($C15="Goal",L$7&gt;=$F15,L$7&lt;=$F15+$G15-1),2,IF(AND($C15="Milestone",L$7&gt;=$F15,L$7&lt;=$F15+$G15-1),1,""))</f>
        <v/>
      </c>
      <c r="M15" s="71" t="str">
        <f aca="false">IF(AND($C15="Goal",M$7&gt;=$F15,M$7&lt;=$F15+$G15-1),2,IF(AND($C15="Milestone",M$7&gt;=$F15,M$7&lt;=$F15+$G15-1),1,""))</f>
        <v/>
      </c>
      <c r="N15" s="71" t="str">
        <f aca="false">IF(AND($C15="Goal",N$7&gt;=$F15,N$7&lt;=$F15+$G15-1),2,IF(AND($C15="Milestone",N$7&gt;=$F15,N$7&lt;=$F15+$G15-1),1,""))</f>
        <v/>
      </c>
      <c r="O15" s="71" t="str">
        <f aca="false">IF(AND($C15="Goal",O$7&gt;=$F15,O$7&lt;=$F15+$G15-1),2,IF(AND($C15="Milestone",O$7&gt;=$F15,O$7&lt;=$F15+$G15-1),1,""))</f>
        <v/>
      </c>
      <c r="P15" s="71" t="str">
        <f aca="false">IF(AND($C15="Goal",P$7&gt;=$F15,P$7&lt;=$F15+$G15-1),2,IF(AND($C15="Milestone",P$7&gt;=$F15,P$7&lt;=$F15+$G15-1),1,""))</f>
        <v/>
      </c>
      <c r="Q15" s="71" t="str">
        <f aca="false">IF(AND($C15="Goal",Q$7&gt;=$F15,Q$7&lt;=$F15+$G15-1),2,IF(AND($C15="Milestone",Q$7&gt;=$F15,Q$7&lt;=$F15+$G15-1),1,""))</f>
        <v/>
      </c>
      <c r="R15" s="71" t="str">
        <f aca="false">IF(AND($C15="Goal",R$7&gt;=$F15,R$7&lt;=$F15+$G15-1),2,IF(AND($C15="Milestone",R$7&gt;=$F15,R$7&lt;=$F15+$G15-1),1,""))</f>
        <v/>
      </c>
      <c r="S15" s="71" t="str">
        <f aca="false">IF(AND($C15="Goal",S$7&gt;=$F15,S$7&lt;=$F15+$G15-1),2,IF(AND($C15="Milestone",S$7&gt;=$F15,S$7&lt;=$F15+$G15-1),1,""))</f>
        <v/>
      </c>
      <c r="T15" s="71" t="str">
        <f aca="false">IF(AND($C15="Goal",T$7&gt;=$F15,T$7&lt;=$F15+$G15-1),2,IF(AND($C15="Milestone",T$7&gt;=$F15,T$7&lt;=$F15+$G15-1),1,""))</f>
        <v/>
      </c>
      <c r="U15" s="71" t="str">
        <f aca="false">IF(AND($C15="Goal",U$7&gt;=$F15,U$7&lt;=$F15+$G15-1),2,IF(AND($C15="Milestone",U$7&gt;=$F15,U$7&lt;=$F15+$G15-1),1,""))</f>
        <v/>
      </c>
      <c r="V15" s="71" t="str">
        <f aca="false">IF(AND($C15="Goal",V$7&gt;=$F15,V$7&lt;=$F15+$G15-1),2,IF(AND($C15="Milestone",V$7&gt;=$F15,V$7&lt;=$F15+$G15-1),1,""))</f>
        <v/>
      </c>
      <c r="W15" s="71" t="str">
        <f aca="false">IF(AND($C15="Goal",W$7&gt;=$F15,W$7&lt;=$F15+$G15-1),2,IF(AND($C15="Milestone",W$7&gt;=$F15,W$7&lt;=$F15+$G15-1),1,""))</f>
        <v/>
      </c>
      <c r="X15" s="71" t="str">
        <f aca="false">IF(AND($C15="Goal",X$7&gt;=$F15,X$7&lt;=$F15+$G15-1),2,IF(AND($C15="Milestone",X$7&gt;=$F15,X$7&lt;=$F15+$G15-1),1,""))</f>
        <v/>
      </c>
      <c r="Y15" s="71" t="str">
        <f aca="false">IF(AND($C15="Goal",Y$7&gt;=$F15,Y$7&lt;=$F15+$G15-1),2,IF(AND($C15="Milestone",Y$7&gt;=$F15,Y$7&lt;=$F15+$G15-1),1,""))</f>
        <v/>
      </c>
      <c r="Z15" s="71" t="str">
        <f aca="false">IF(AND($C15="Goal",Z$7&gt;=$F15,Z$7&lt;=$F15+$G15-1),2,IF(AND($C15="Milestone",Z$7&gt;=$F15,Z$7&lt;=$F15+$G15-1),1,""))</f>
        <v/>
      </c>
      <c r="AA15" s="71" t="str">
        <f aca="false">IF(AND($C15="Goal",AA$7&gt;=$F15,AA$7&lt;=$F15+$G15-1),2,IF(AND($C15="Milestone",AA$7&gt;=$F15,AA$7&lt;=$F15+$G15-1),1,""))</f>
        <v/>
      </c>
      <c r="AB15" s="71" t="str">
        <f aca="false">IF(AND($C15="Goal",AB$7&gt;=$F15,AB$7&lt;=$F15+$G15-1),2,IF(AND($C15="Milestone",AB$7&gt;=$F15,AB$7&lt;=$F15+$G15-1),1,""))</f>
        <v/>
      </c>
      <c r="AC15" s="71" t="n">
        <f aca="false">IF(AND($C15="Goal",AC$7&gt;=$F15,AC$7&lt;=$F15+$G15-1),2,IF(AND($C15="Milestone",AC$7&gt;=$F15,AC$7&lt;=$F15+$G15-1),1,""))</f>
        <v>1</v>
      </c>
      <c r="AD15" s="71" t="str">
        <f aca="false">IF(AND($C15="Goal",AD$7&gt;=$F15,AD$7&lt;=$F15+$G15-1),2,IF(AND($C15="Milestone",AD$7&gt;=$F15,AD$7&lt;=$F15+$G15-1),1,""))</f>
        <v/>
      </c>
      <c r="AE15" s="71" t="str">
        <f aca="false">IF(AND($C15="Goal",AE$7&gt;=$F15,AE$7&lt;=$F15+$G15-1),2,IF(AND($C15="Milestone",AE$7&gt;=$F15,AE$7&lt;=$F15+$G15-1),1,""))</f>
        <v/>
      </c>
      <c r="AF15" s="71" t="str">
        <f aca="false">IF(AND($C15="Goal",AF$7&gt;=$F15,AF$7&lt;=$F15+$G15-1),2,IF(AND($C15="Milestone",AF$7&gt;=$F15,AF$7&lt;=$F15+$G15-1),1,""))</f>
        <v/>
      </c>
      <c r="AG15" s="71" t="str">
        <f aca="false">IF(AND($C15="Goal",AG$7&gt;=$F15,AG$7&lt;=$F15+$G15-1),2,IF(AND($C15="Milestone",AG$7&gt;=$F15,AG$7&lt;=$F15+$G15-1),1,""))</f>
        <v/>
      </c>
      <c r="AH15" s="71" t="str">
        <f aca="false">IF(AND($C15="Goal",AH$7&gt;=$F15,AH$7&lt;=$F15+$G15-1),2,IF(AND($C15="Milestone",AH$7&gt;=$F15,AH$7&lt;=$F15+$G15-1),1,""))</f>
        <v/>
      </c>
      <c r="AI15" s="71" t="str">
        <f aca="false">IF(AND($C15="Goal",AI$7&gt;=$F15,AI$7&lt;=$F15+$G15-1),2,IF(AND($C15="Milestone",AI$7&gt;=$F15,AI$7&lt;=$F15+$G15-1),1,""))</f>
        <v/>
      </c>
      <c r="AJ15" s="71" t="str">
        <f aca="false">IF(AND($C15="Goal",AJ$7&gt;=$F15,AJ$7&lt;=$F15+$G15-1),2,IF(AND($C15="Milestone",AJ$7&gt;=$F15,AJ$7&lt;=$F15+$G15-1),1,""))</f>
        <v/>
      </c>
      <c r="AK15" s="71" t="str">
        <f aca="false">IF(AND($C15="Goal",AK$7&gt;=$F15,AK$7&lt;=$F15+$G15-1),2,IF(AND($C15="Milestone",AK$7&gt;=$F15,AK$7&lt;=$F15+$G15-1),1,""))</f>
        <v/>
      </c>
      <c r="AL15" s="71" t="str">
        <f aca="false">IF(AND($C15="Goal",AL$7&gt;=$F15,AL$7&lt;=$F15+$G15-1),2,IF(AND($C15="Milestone",AL$7&gt;=$F15,AL$7&lt;=$F15+$G15-1),1,""))</f>
        <v/>
      </c>
      <c r="AM15" s="71" t="str">
        <f aca="false">IF(AND($C15="Goal",AM$7&gt;=$F15,AM$7&lt;=$F15+$G15-1),2,IF(AND($C15="Milestone",AM$7&gt;=$F15,AM$7&lt;=$F15+$G15-1),1,""))</f>
        <v/>
      </c>
      <c r="AN15" s="71" t="str">
        <f aca="false">IF(AND($C15="Goal",AN$7&gt;=$F15,AN$7&lt;=$F15+$G15-1),2,IF(AND($C15="Milestone",AN$7&gt;=$F15,AN$7&lt;=$F15+$G15-1),1,""))</f>
        <v/>
      </c>
      <c r="AO15" s="71" t="str">
        <f aca="false">IF(AND($C15="Goal",AO$7&gt;=$F15,AO$7&lt;=$F15+$G15-1),2,IF(AND($C15="Milestone",AO$7&gt;=$F15,AO$7&lt;=$F15+$G15-1),1,""))</f>
        <v/>
      </c>
      <c r="AP15" s="71" t="str">
        <f aca="false">IF(AND($C15="Goal",AP$7&gt;=$F15,AP$7&lt;=$F15+$G15-1),2,IF(AND($C15="Milestone",AP$7&gt;=$F15,AP$7&lt;=$F15+$G15-1),1,""))</f>
        <v/>
      </c>
      <c r="AQ15" s="71" t="str">
        <f aca="false">IF(AND($C15="Goal",AQ$7&gt;=$F15,AQ$7&lt;=$F15+$G15-1),2,IF(AND($C15="Milestone",AQ$7&gt;=$F15,AQ$7&lt;=$F15+$G15-1),1,""))</f>
        <v/>
      </c>
      <c r="AR15" s="71" t="str">
        <f aca="false">IF(AND($C15="Goal",AR$7&gt;=$F15,AR$7&lt;=$F15+$G15-1),2,IF(AND($C15="Milestone",AR$7&gt;=$F15,AR$7&lt;=$F15+$G15-1),1,""))</f>
        <v/>
      </c>
      <c r="AS15" s="71" t="str">
        <f aca="false">IF(AND($C15="Goal",AS$7&gt;=$F15,AS$7&lt;=$F15+$G15-1),2,IF(AND($C15="Milestone",AS$7&gt;=$F15,AS$7&lt;=$F15+$G15-1),1,""))</f>
        <v/>
      </c>
      <c r="AT15" s="71" t="str">
        <f aca="false">IF(AND($C15="Goal",AT$7&gt;=$F15,AT$7&lt;=$F15+$G15-1),2,IF(AND($C15="Milestone",AT$7&gt;=$F15,AT$7&lt;=$F15+$G15-1),1,""))</f>
        <v/>
      </c>
      <c r="AU15" s="71" t="str">
        <f aca="false">IF(AND($C15="Goal",AU$7&gt;=$F15,AU$7&lt;=$F15+$G15-1),2,IF(AND($C15="Milestone",AU$7&gt;=$F15,AU$7&lt;=$F15+$G15-1),1,""))</f>
        <v/>
      </c>
      <c r="AV15" s="71" t="str">
        <f aca="false">IF(AND($C15="Goal",AV$7&gt;=$F15,AV$7&lt;=$F15+$G15-1),2,IF(AND($C15="Milestone",AV$7&gt;=$F15,AV$7&lt;=$F15+$G15-1),1,""))</f>
        <v/>
      </c>
      <c r="AW15" s="71" t="str">
        <f aca="false">IF(AND($C15="Goal",AW$7&gt;=$F15,AW$7&lt;=$F15+$G15-1),2,IF(AND($C15="Milestone",AW$7&gt;=$F15,AW$7&lt;=$F15+$G15-1),1,""))</f>
        <v/>
      </c>
      <c r="AX15" s="71" t="str">
        <f aca="false">IF(AND($C15="Goal",AX$7&gt;=$F15,AX$7&lt;=$F15+$G15-1),2,IF(AND($C15="Milestone",AX$7&gt;=$F15,AX$7&lt;=$F15+$G15-1),1,""))</f>
        <v/>
      </c>
      <c r="AY15" s="71" t="str">
        <f aca="false">IF(AND($C15="Goal",AY$7&gt;=$F15,AY$7&lt;=$F15+$G15-1),2,IF(AND($C15="Milestone",AY$7&gt;=$F15,AY$7&lt;=$F15+$G15-1),1,""))</f>
        <v/>
      </c>
      <c r="AZ15" s="71" t="str">
        <f aca="false">IF(AND($C15="Goal",AZ$7&gt;=$F15,AZ$7&lt;=$F15+$G15-1),2,IF(AND($C15="Milestone",AZ$7&gt;=$F15,AZ$7&lt;=$F15+$G15-1),1,""))</f>
        <v/>
      </c>
      <c r="BA15" s="71" t="str">
        <f aca="false">IF(AND($C15="Goal",BA$7&gt;=$F15,BA$7&lt;=$F15+$G15-1),2,IF(AND($C15="Milestone",BA$7&gt;=$F15,BA$7&lt;=$F15+$G15-1),1,""))</f>
        <v/>
      </c>
      <c r="BB15" s="71" t="str">
        <f aca="false">IF(AND($C15="Goal",BB$7&gt;=$F15,BB$7&lt;=$F15+$G15-1),2,IF(AND($C15="Milestone",BB$7&gt;=$F15,BB$7&lt;=$F15+$G15-1),1,""))</f>
        <v/>
      </c>
      <c r="BC15" s="71" t="str">
        <f aca="false">IF(AND($C15="Goal",BC$7&gt;=$F15,BC$7&lt;=$F15+$G15-1),2,IF(AND($C15="Milestone",BC$7&gt;=$F15,BC$7&lt;=$F15+$G15-1),1,""))</f>
        <v/>
      </c>
      <c r="BD15" s="71" t="str">
        <f aca="false">IF(AND($C15="Goal",BD$7&gt;=$F15,BD$7&lt;=$F15+$G15-1),2,IF(AND($C15="Milestone",BD$7&gt;=$F15,BD$7&lt;=$F15+$G15-1),1,""))</f>
        <v/>
      </c>
      <c r="BE15" s="71" t="str">
        <f aca="false">IF(AND($C15="Goal",BE$7&gt;=$F15,BE$7&lt;=$F15+$G15-1),2,IF(AND($C15="Milestone",BE$7&gt;=$F15,BE$7&lt;=$F15+$G15-1),1,""))</f>
        <v/>
      </c>
      <c r="BF15" s="71" t="str">
        <f aca="false">IF(AND($C15="Goal",BF$7&gt;=$F15,BF$7&lt;=$F15+$G15-1),2,IF(AND($C15="Milestone",BF$7&gt;=$F15,BF$7&lt;=$F15+$G15-1),1,""))</f>
        <v/>
      </c>
      <c r="BG15" s="71" t="str">
        <f aca="false">IF(AND($C15="Goal",BG$7&gt;=$F15,BG$7&lt;=$F15+$G15-1),2,IF(AND($C15="Milestone",BG$7&gt;=$F15,BG$7&lt;=$F15+$G15-1),1,""))</f>
        <v/>
      </c>
      <c r="BH15" s="71" t="str">
        <f aca="false">IF(AND($C15="Goal",BH$7&gt;=$F15,BH$7&lt;=$F15+$G15-1),2,IF(AND($C15="Milestone",BH$7&gt;=$F15,BH$7&lt;=$F15+$G15-1),1,""))</f>
        <v/>
      </c>
      <c r="BI15" s="71" t="str">
        <f aca="false">IF(AND($C15="Goal",BI$7&gt;=$F15,BI$7&lt;=$F15+$G15-1),2,IF(AND($C15="Milestone",BI$7&gt;=$F15,BI$7&lt;=$F15+$G15-1),1,""))</f>
        <v/>
      </c>
      <c r="BJ15" s="71" t="str">
        <f aca="false">IF(AND($C15="Goal",BJ$7&gt;=$F15,BJ$7&lt;=$F15+$G15-1),2,IF(AND($C15="Milestone",BJ$7&gt;=$F15,BJ$7&lt;=$F15+$G15-1),1,""))</f>
        <v/>
      </c>
      <c r="BK15" s="71" t="str">
        <f aca="false">IF(AND($C15="Goal",BK$7&gt;=$F15,BK$7&lt;=$F15+$G15-1),2,IF(AND($C15="Milestone",BK$7&gt;=$F15,BK$7&lt;=$F15+$G15-1),1,""))</f>
        <v/>
      </c>
      <c r="BL15" s="71" t="str">
        <f aca="false">IF(AND($C15="Goal",BL$7&gt;=$F15,BL$7&lt;=$F15+$G15-1),2,IF(AND($C15="Milestone",BL$7&gt;=$F15,BL$7&lt;=$F15+$G15-1),1,""))</f>
        <v/>
      </c>
    </row>
    <row r="16" s="25" customFormat="true" ht="39.75" hidden="false" customHeight="true" outlineLevel="0" collapsed="false">
      <c r="A16" s="13"/>
      <c r="B16" s="101" t="s">
        <v>88</v>
      </c>
      <c r="C16" s="67" t="s">
        <v>20</v>
      </c>
      <c r="D16" s="67"/>
      <c r="E16" s="68" t="n">
        <v>0.1</v>
      </c>
      <c r="F16" s="69" t="n">
        <f aca="false">F12+6</f>
        <v>45971</v>
      </c>
      <c r="G16" s="70" t="n">
        <v>6</v>
      </c>
      <c r="H16" s="67"/>
      <c r="I16" s="71" t="str">
        <f aca="false">IF(AND($C16="Goal",I$7&gt;=$F16,I$7&lt;=$F16+$G16-1),2,IF(AND($C16="Milestone",I$7&gt;=$F16,I$7&lt;=$F16+$G16-1),1,""))</f>
        <v/>
      </c>
      <c r="J16" s="71" t="str">
        <f aca="false">IF(AND($C16="Goal",J$7&gt;=$F16,J$7&lt;=$F16+$G16-1),2,IF(AND($C16="Milestone",J$7&gt;=$F16,J$7&lt;=$F16+$G16-1),1,""))</f>
        <v/>
      </c>
      <c r="K16" s="71" t="str">
        <f aca="false">IF(AND($C16="Goal",K$7&gt;=$F16,K$7&lt;=$F16+$G16-1),2,IF(AND($C16="Milestone",K$7&gt;=$F16,K$7&lt;=$F16+$G16-1),1,""))</f>
        <v/>
      </c>
      <c r="L16" s="71" t="str">
        <f aca="false">IF(AND($C16="Goal",L$7&gt;=$F16,L$7&lt;=$F16+$G16-1),2,IF(AND($C16="Milestone",L$7&gt;=$F16,L$7&lt;=$F16+$G16-1),1,""))</f>
        <v/>
      </c>
      <c r="M16" s="71" t="str">
        <f aca="false">IF(AND($C16="Goal",M$7&gt;=$F16,M$7&lt;=$F16+$G16-1),2,IF(AND($C16="Milestone",M$7&gt;=$F16,M$7&lt;=$F16+$G16-1),1,""))</f>
        <v/>
      </c>
      <c r="N16" s="71" t="str">
        <f aca="false">IF(AND($C16="Goal",N$7&gt;=$F16,N$7&lt;=$F16+$G16-1),2,IF(AND($C16="Milestone",N$7&gt;=$F16,N$7&lt;=$F16+$G16-1),1,""))</f>
        <v/>
      </c>
      <c r="O16" s="71" t="str">
        <f aca="false">IF(AND($C16="Goal",O$7&gt;=$F16,O$7&lt;=$F16+$G16-1),2,IF(AND($C16="Milestone",O$7&gt;=$F16,O$7&lt;=$F16+$G16-1),1,""))</f>
        <v/>
      </c>
      <c r="P16" s="71" t="str">
        <f aca="false">IF(AND($C16="Goal",P$7&gt;=$F16,P$7&lt;=$F16+$G16-1),2,IF(AND($C16="Milestone",P$7&gt;=$F16,P$7&lt;=$F16+$G16-1),1,""))</f>
        <v/>
      </c>
      <c r="Q16" s="71" t="str">
        <f aca="false">IF(AND($C16="Goal",Q$7&gt;=$F16,Q$7&lt;=$F16+$G16-1),2,IF(AND($C16="Milestone",Q$7&gt;=$F16,Q$7&lt;=$F16+$G16-1),1,""))</f>
        <v/>
      </c>
      <c r="R16" s="71" t="str">
        <f aca="false">IF(AND($C16="Goal",R$7&gt;=$F16,R$7&lt;=$F16+$G16-1),2,IF(AND($C16="Milestone",R$7&gt;=$F16,R$7&lt;=$F16+$G16-1),1,""))</f>
        <v/>
      </c>
      <c r="S16" s="71" t="str">
        <f aca="false">IF(AND($C16="Goal",S$7&gt;=$F16,S$7&lt;=$F16+$G16-1),2,IF(AND($C16="Milestone",S$7&gt;=$F16,S$7&lt;=$F16+$G16-1),1,""))</f>
        <v/>
      </c>
      <c r="T16" s="71" t="str">
        <f aca="false">IF(AND($C16="Goal",T$7&gt;=$F16,T$7&lt;=$F16+$G16-1),2,IF(AND($C16="Milestone",T$7&gt;=$F16,T$7&lt;=$F16+$G16-1),1,""))</f>
        <v/>
      </c>
      <c r="U16" s="71" t="str">
        <f aca="false">IF(AND($C16="Goal",U$7&gt;=$F16,U$7&lt;=$F16+$G16-1),2,IF(AND($C16="Milestone",U$7&gt;=$F16,U$7&lt;=$F16+$G16-1),1,""))</f>
        <v/>
      </c>
      <c r="V16" s="71" t="str">
        <f aca="false">IF(AND($C16="Goal",V$7&gt;=$F16,V$7&lt;=$F16+$G16-1),2,IF(AND($C16="Milestone",V$7&gt;=$F16,V$7&lt;=$F16+$G16-1),1,""))</f>
        <v/>
      </c>
      <c r="W16" s="71" t="str">
        <f aca="false">IF(AND($C16="Goal",W$7&gt;=$F16,W$7&lt;=$F16+$G16-1),2,IF(AND($C16="Milestone",W$7&gt;=$F16,W$7&lt;=$F16+$G16-1),1,""))</f>
        <v/>
      </c>
      <c r="X16" s="71" t="str">
        <f aca="false">IF(AND($C16="Goal",X$7&gt;=$F16,X$7&lt;=$F16+$G16-1),2,IF(AND($C16="Milestone",X$7&gt;=$F16,X$7&lt;=$F16+$G16-1),1,""))</f>
        <v/>
      </c>
      <c r="Y16" s="71" t="str">
        <f aca="false">IF(AND($C16="Goal",Y$7&gt;=$F16,Y$7&lt;=$F16+$G16-1),2,IF(AND($C16="Milestone",Y$7&gt;=$F16,Y$7&lt;=$F16+$G16-1),1,""))</f>
        <v/>
      </c>
      <c r="Z16" s="71" t="str">
        <f aca="false">IF(AND($C16="Goal",Z$7&gt;=$F16,Z$7&lt;=$F16+$G16-1),2,IF(AND($C16="Milestone",Z$7&gt;=$F16,Z$7&lt;=$F16+$G16-1),1,""))</f>
        <v/>
      </c>
      <c r="AA16" s="71" t="str">
        <f aca="false">IF(AND($C16="Goal",AA$7&gt;=$F16,AA$7&lt;=$F16+$G16-1),2,IF(AND($C16="Milestone",AA$7&gt;=$F16,AA$7&lt;=$F16+$G16-1),1,""))</f>
        <v/>
      </c>
      <c r="AB16" s="71" t="str">
        <f aca="false">IF(AND($C16="Goal",AB$7&gt;=$F16,AB$7&lt;=$F16+$G16-1),2,IF(AND($C16="Milestone",AB$7&gt;=$F16,AB$7&lt;=$F16+$G16-1),1,""))</f>
        <v/>
      </c>
      <c r="AC16" s="71" t="str">
        <f aca="false">IF(AND($C16="Goal",AC$7&gt;=$F16,AC$7&lt;=$F16+$G16-1),2,IF(AND($C16="Milestone",AC$7&gt;=$F16,AC$7&lt;=$F16+$G16-1),1,""))</f>
        <v/>
      </c>
      <c r="AD16" s="71" t="str">
        <f aca="false">IF(AND($C16="Goal",AD$7&gt;=$F16,AD$7&lt;=$F16+$G16-1),2,IF(AND($C16="Milestone",AD$7&gt;=$F16,AD$7&lt;=$F16+$G16-1),1,""))</f>
        <v/>
      </c>
      <c r="AE16" s="71" t="str">
        <f aca="false">IF(AND($C16="Goal",AE$7&gt;=$F16,AE$7&lt;=$F16+$G16-1),2,IF(AND($C16="Milestone",AE$7&gt;=$F16,AE$7&lt;=$F16+$G16-1),1,""))</f>
        <v/>
      </c>
      <c r="AF16" s="71" t="str">
        <f aca="false">IF(AND($C16="Goal",AF$7&gt;=$F16,AF$7&lt;=$F16+$G16-1),2,IF(AND($C16="Milestone",AF$7&gt;=$F16,AF$7&lt;=$F16+$G16-1),1,""))</f>
        <v/>
      </c>
      <c r="AG16" s="71" t="str">
        <f aca="false">IF(AND($C16="Goal",AG$7&gt;=$F16,AG$7&lt;=$F16+$G16-1),2,IF(AND($C16="Milestone",AG$7&gt;=$F16,AG$7&lt;=$F16+$G16-1),1,""))</f>
        <v/>
      </c>
      <c r="AH16" s="71" t="str">
        <f aca="false">IF(AND($C16="Goal",AH$7&gt;=$F16,AH$7&lt;=$F16+$G16-1),2,IF(AND($C16="Milestone",AH$7&gt;=$F16,AH$7&lt;=$F16+$G16-1),1,""))</f>
        <v/>
      </c>
      <c r="AI16" s="71" t="str">
        <f aca="false">IF(AND($C16="Goal",AI$7&gt;=$F16,AI$7&lt;=$F16+$G16-1),2,IF(AND($C16="Milestone",AI$7&gt;=$F16,AI$7&lt;=$F16+$G16-1),1,""))</f>
        <v/>
      </c>
      <c r="AJ16" s="71" t="str">
        <f aca="false">IF(AND($C16="Goal",AJ$7&gt;=$F16,AJ$7&lt;=$F16+$G16-1),2,IF(AND($C16="Milestone",AJ$7&gt;=$F16,AJ$7&lt;=$F16+$G16-1),1,""))</f>
        <v/>
      </c>
      <c r="AK16" s="71" t="str">
        <f aca="false">IF(AND($C16="Goal",AK$7&gt;=$F16,AK$7&lt;=$F16+$G16-1),2,IF(AND($C16="Milestone",AK$7&gt;=$F16,AK$7&lt;=$F16+$G16-1),1,""))</f>
        <v/>
      </c>
      <c r="AL16" s="71" t="str">
        <f aca="false">IF(AND($C16="Goal",AL$7&gt;=$F16,AL$7&lt;=$F16+$G16-1),2,IF(AND($C16="Milestone",AL$7&gt;=$F16,AL$7&lt;=$F16+$G16-1),1,""))</f>
        <v/>
      </c>
      <c r="AM16" s="71" t="str">
        <f aca="false">IF(AND($C16="Goal",AM$7&gt;=$F16,AM$7&lt;=$F16+$G16-1),2,IF(AND($C16="Milestone",AM$7&gt;=$F16,AM$7&lt;=$F16+$G16-1),1,""))</f>
        <v/>
      </c>
      <c r="AN16" s="71" t="str">
        <f aca="false">IF(AND($C16="Goal",AN$7&gt;=$F16,AN$7&lt;=$F16+$G16-1),2,IF(AND($C16="Milestone",AN$7&gt;=$F16,AN$7&lt;=$F16+$G16-1),1,""))</f>
        <v/>
      </c>
      <c r="AO16" s="71" t="str">
        <f aca="false">IF(AND($C16="Goal",AO$7&gt;=$F16,AO$7&lt;=$F16+$G16-1),2,IF(AND($C16="Milestone",AO$7&gt;=$F16,AO$7&lt;=$F16+$G16-1),1,""))</f>
        <v/>
      </c>
      <c r="AP16" s="71" t="str">
        <f aca="false">IF(AND($C16="Goal",AP$7&gt;=$F16,AP$7&lt;=$F16+$G16-1),2,IF(AND($C16="Milestone",AP$7&gt;=$F16,AP$7&lt;=$F16+$G16-1),1,""))</f>
        <v/>
      </c>
      <c r="AQ16" s="71" t="str">
        <f aca="false">IF(AND($C16="Goal",AQ$7&gt;=$F16,AQ$7&lt;=$F16+$G16-1),2,IF(AND($C16="Milestone",AQ$7&gt;=$F16,AQ$7&lt;=$F16+$G16-1),1,""))</f>
        <v/>
      </c>
      <c r="AR16" s="71" t="str">
        <f aca="false">IF(AND($C16="Goal",AR$7&gt;=$F16,AR$7&lt;=$F16+$G16-1),2,IF(AND($C16="Milestone",AR$7&gt;=$F16,AR$7&lt;=$F16+$G16-1),1,""))</f>
        <v/>
      </c>
      <c r="AS16" s="71" t="str">
        <f aca="false">IF(AND($C16="Goal",AS$7&gt;=$F16,AS$7&lt;=$F16+$G16-1),2,IF(AND($C16="Milestone",AS$7&gt;=$F16,AS$7&lt;=$F16+$G16-1),1,""))</f>
        <v/>
      </c>
      <c r="AT16" s="71" t="str">
        <f aca="false">IF(AND($C16="Goal",AT$7&gt;=$F16,AT$7&lt;=$F16+$G16-1),2,IF(AND($C16="Milestone",AT$7&gt;=$F16,AT$7&lt;=$F16+$G16-1),1,""))</f>
        <v/>
      </c>
      <c r="AU16" s="71" t="str">
        <f aca="false">IF(AND($C16="Goal",AU$7&gt;=$F16,AU$7&lt;=$F16+$G16-1),2,IF(AND($C16="Milestone",AU$7&gt;=$F16,AU$7&lt;=$F16+$G16-1),1,""))</f>
        <v/>
      </c>
      <c r="AV16" s="71" t="str">
        <f aca="false">IF(AND($C16="Goal",AV$7&gt;=$F16,AV$7&lt;=$F16+$G16-1),2,IF(AND($C16="Milestone",AV$7&gt;=$F16,AV$7&lt;=$F16+$G16-1),1,""))</f>
        <v/>
      </c>
      <c r="AW16" s="71" t="str">
        <f aca="false">IF(AND($C16="Goal",AW$7&gt;=$F16,AW$7&lt;=$F16+$G16-1),2,IF(AND($C16="Milestone",AW$7&gt;=$F16,AW$7&lt;=$F16+$G16-1),1,""))</f>
        <v/>
      </c>
      <c r="AX16" s="71" t="str">
        <f aca="false">IF(AND($C16="Goal",AX$7&gt;=$F16,AX$7&lt;=$F16+$G16-1),2,IF(AND($C16="Milestone",AX$7&gt;=$F16,AX$7&lt;=$F16+$G16-1),1,""))</f>
        <v/>
      </c>
      <c r="AY16" s="71" t="str">
        <f aca="false">IF(AND($C16="Goal",AY$7&gt;=$F16,AY$7&lt;=$F16+$G16-1),2,IF(AND($C16="Milestone",AY$7&gt;=$F16,AY$7&lt;=$F16+$G16-1),1,""))</f>
        <v/>
      </c>
      <c r="AZ16" s="71" t="str">
        <f aca="false">IF(AND($C16="Goal",AZ$7&gt;=$F16,AZ$7&lt;=$F16+$G16-1),2,IF(AND($C16="Milestone",AZ$7&gt;=$F16,AZ$7&lt;=$F16+$G16-1),1,""))</f>
        <v/>
      </c>
      <c r="BA16" s="71" t="str">
        <f aca="false">IF(AND($C16="Goal",BA$7&gt;=$F16,BA$7&lt;=$F16+$G16-1),2,IF(AND($C16="Milestone",BA$7&gt;=$F16,BA$7&lt;=$F16+$G16-1),1,""))</f>
        <v/>
      </c>
      <c r="BB16" s="71" t="str">
        <f aca="false">IF(AND($C16="Goal",BB$7&gt;=$F16,BB$7&lt;=$F16+$G16-1),2,IF(AND($C16="Milestone",BB$7&gt;=$F16,BB$7&lt;=$F16+$G16-1),1,""))</f>
        <v/>
      </c>
      <c r="BC16" s="71" t="str">
        <f aca="false">IF(AND($C16="Goal",BC$7&gt;=$F16,BC$7&lt;=$F16+$G16-1),2,IF(AND($C16="Milestone",BC$7&gt;=$F16,BC$7&lt;=$F16+$G16-1),1,""))</f>
        <v/>
      </c>
      <c r="BD16" s="71" t="str">
        <f aca="false">IF(AND($C16="Goal",BD$7&gt;=$F16,BD$7&lt;=$F16+$G16-1),2,IF(AND($C16="Milestone",BD$7&gt;=$F16,BD$7&lt;=$F16+$G16-1),1,""))</f>
        <v/>
      </c>
      <c r="BE16" s="71" t="str">
        <f aca="false">IF(AND($C16="Goal",BE$7&gt;=$F16,BE$7&lt;=$F16+$G16-1),2,IF(AND($C16="Milestone",BE$7&gt;=$F16,BE$7&lt;=$F16+$G16-1),1,""))</f>
        <v/>
      </c>
      <c r="BF16" s="71" t="str">
        <f aca="false">IF(AND($C16="Goal",BF$7&gt;=$F16,BF$7&lt;=$F16+$G16-1),2,IF(AND($C16="Milestone",BF$7&gt;=$F16,BF$7&lt;=$F16+$G16-1),1,""))</f>
        <v/>
      </c>
      <c r="BG16" s="71" t="str">
        <f aca="false">IF(AND($C16="Goal",BG$7&gt;=$F16,BG$7&lt;=$F16+$G16-1),2,IF(AND($C16="Milestone",BG$7&gt;=$F16,BG$7&lt;=$F16+$G16-1),1,""))</f>
        <v/>
      </c>
      <c r="BH16" s="71" t="str">
        <f aca="false">IF(AND($C16="Goal",BH$7&gt;=$F16,BH$7&lt;=$F16+$G16-1),2,IF(AND($C16="Milestone",BH$7&gt;=$F16,BH$7&lt;=$F16+$G16-1),1,""))</f>
        <v/>
      </c>
      <c r="BI16" s="71" t="str">
        <f aca="false">IF(AND($C16="Goal",BI$7&gt;=$F16,BI$7&lt;=$F16+$G16-1),2,IF(AND($C16="Milestone",BI$7&gt;=$F16,BI$7&lt;=$F16+$G16-1),1,""))</f>
        <v/>
      </c>
      <c r="BJ16" s="71" t="str">
        <f aca="false">IF(AND($C16="Goal",BJ$7&gt;=$F16,BJ$7&lt;=$F16+$G16-1),2,IF(AND($C16="Milestone",BJ$7&gt;=$F16,BJ$7&lt;=$F16+$G16-1),1,""))</f>
        <v/>
      </c>
      <c r="BK16" s="71" t="str">
        <f aca="false">IF(AND($C16="Goal",BK$7&gt;=$F16,BK$7&lt;=$F16+$G16-1),2,IF(AND($C16="Milestone",BK$7&gt;=$F16,BK$7&lt;=$F16+$G16-1),1,""))</f>
        <v/>
      </c>
      <c r="BL16" s="71" t="str">
        <f aca="false">IF(AND($C16="Goal",BL$7&gt;=$F16,BL$7&lt;=$F16+$G16-1),2,IF(AND($C16="Milestone",BL$7&gt;=$F16,BL$7&lt;=$F16+$G16-1),1,""))</f>
        <v/>
      </c>
    </row>
    <row r="17" s="25" customFormat="true" ht="39.75" hidden="false" customHeight="true" outlineLevel="0" collapsed="false">
      <c r="A17" s="15"/>
      <c r="B17" s="166" t="s">
        <v>89</v>
      </c>
      <c r="C17" s="67"/>
      <c r="D17" s="67"/>
      <c r="E17" s="68"/>
      <c r="F17" s="69"/>
      <c r="G17" s="70"/>
      <c r="H17" s="67"/>
      <c r="I17" s="71" t="str">
        <f aca="false">IF(AND($C17="Goal",I$7&gt;=$F17,I$7&lt;=$F17+$G17-1),2,IF(AND($C17="Milestone",I$7&gt;=$F17,I$7&lt;=$F17+$G17-1),1,""))</f>
        <v/>
      </c>
      <c r="J17" s="71" t="str">
        <f aca="false">IF(AND($C17="Goal",J$7&gt;=$F17,J$7&lt;=$F17+$G17-1),2,IF(AND($C17="Milestone",J$7&gt;=$F17,J$7&lt;=$F17+$G17-1),1,""))</f>
        <v/>
      </c>
      <c r="K17" s="71" t="str">
        <f aca="false">IF(AND($C17="Goal",K$7&gt;=$F17,K$7&lt;=$F17+$G17-1),2,IF(AND($C17="Milestone",K$7&gt;=$F17,K$7&lt;=$F17+$G17-1),1,""))</f>
        <v/>
      </c>
      <c r="L17" s="71" t="str">
        <f aca="false">IF(AND($C17="Goal",L$7&gt;=$F17,L$7&lt;=$F17+$G17-1),2,IF(AND($C17="Milestone",L$7&gt;=$F17,L$7&lt;=$F17+$G17-1),1,""))</f>
        <v/>
      </c>
      <c r="M17" s="71" t="str">
        <f aca="false">IF(AND($C17="Goal",M$7&gt;=$F17,M$7&lt;=$F17+$G17-1),2,IF(AND($C17="Milestone",M$7&gt;=$F17,M$7&lt;=$F17+$G17-1),1,""))</f>
        <v/>
      </c>
      <c r="N17" s="71" t="str">
        <f aca="false">IF(AND($C17="Goal",N$7&gt;=$F17,N$7&lt;=$F17+$G17-1),2,IF(AND($C17="Milestone",N$7&gt;=$F17,N$7&lt;=$F17+$G17-1),1,""))</f>
        <v/>
      </c>
      <c r="O17" s="71" t="str">
        <f aca="false">IF(AND($C17="Goal",O$7&gt;=$F17,O$7&lt;=$F17+$G17-1),2,IF(AND($C17="Milestone",O$7&gt;=$F17,O$7&lt;=$F17+$G17-1),1,""))</f>
        <v/>
      </c>
      <c r="P17" s="71" t="str">
        <f aca="false">IF(AND($C17="Goal",P$7&gt;=$F17,P$7&lt;=$F17+$G17-1),2,IF(AND($C17="Milestone",P$7&gt;=$F17,P$7&lt;=$F17+$G17-1),1,""))</f>
        <v/>
      </c>
      <c r="Q17" s="71" t="str">
        <f aca="false">IF(AND($C17="Goal",Q$7&gt;=$F17,Q$7&lt;=$F17+$G17-1),2,IF(AND($C17="Milestone",Q$7&gt;=$F17,Q$7&lt;=$F17+$G17-1),1,""))</f>
        <v/>
      </c>
      <c r="R17" s="71" t="str">
        <f aca="false">IF(AND($C17="Goal",R$7&gt;=$F17,R$7&lt;=$F17+$G17-1),2,IF(AND($C17="Milestone",R$7&gt;=$F17,R$7&lt;=$F17+$G17-1),1,""))</f>
        <v/>
      </c>
      <c r="S17" s="71" t="str">
        <f aca="false">IF(AND($C17="Goal",S$7&gt;=$F17,S$7&lt;=$F17+$G17-1),2,IF(AND($C17="Milestone",S$7&gt;=$F17,S$7&lt;=$F17+$G17-1),1,""))</f>
        <v/>
      </c>
      <c r="T17" s="71" t="str">
        <f aca="false">IF(AND($C17="Goal",T$7&gt;=$F17,T$7&lt;=$F17+$G17-1),2,IF(AND($C17="Milestone",T$7&gt;=$F17,T$7&lt;=$F17+$G17-1),1,""))</f>
        <v/>
      </c>
      <c r="U17" s="71" t="str">
        <f aca="false">IF(AND($C17="Goal",U$7&gt;=$F17,U$7&lt;=$F17+$G17-1),2,IF(AND($C17="Milestone",U$7&gt;=$F17,U$7&lt;=$F17+$G17-1),1,""))</f>
        <v/>
      </c>
      <c r="V17" s="71" t="str">
        <f aca="false">IF(AND($C17="Goal",V$7&gt;=$F17,V$7&lt;=$F17+$G17-1),2,IF(AND($C17="Milestone",V$7&gt;=$F17,V$7&lt;=$F17+$G17-1),1,""))</f>
        <v/>
      </c>
      <c r="W17" s="71" t="str">
        <f aca="false">IF(AND($C17="Goal",W$7&gt;=$F17,W$7&lt;=$F17+$G17-1),2,IF(AND($C17="Milestone",W$7&gt;=$F17,W$7&lt;=$F17+$G17-1),1,""))</f>
        <v/>
      </c>
      <c r="X17" s="71" t="str">
        <f aca="false">IF(AND($C17="Goal",X$7&gt;=$F17,X$7&lt;=$F17+$G17-1),2,IF(AND($C17="Milestone",X$7&gt;=$F17,X$7&lt;=$F17+$G17-1),1,""))</f>
        <v/>
      </c>
      <c r="Y17" s="71" t="str">
        <f aca="false">IF(AND($C17="Goal",Y$7&gt;=$F17,Y$7&lt;=$F17+$G17-1),2,IF(AND($C17="Milestone",Y$7&gt;=$F17,Y$7&lt;=$F17+$G17-1),1,""))</f>
        <v/>
      </c>
      <c r="Z17" s="71" t="str">
        <f aca="false">IF(AND($C17="Goal",Z$7&gt;=$F17,Z$7&lt;=$F17+$G17-1),2,IF(AND($C17="Milestone",Z$7&gt;=$F17,Z$7&lt;=$F17+$G17-1),1,""))</f>
        <v/>
      </c>
      <c r="AA17" s="71" t="str">
        <f aca="false">IF(AND($C17="Goal",AA$7&gt;=$F17,AA$7&lt;=$F17+$G17-1),2,IF(AND($C17="Milestone",AA$7&gt;=$F17,AA$7&lt;=$F17+$G17-1),1,""))</f>
        <v/>
      </c>
      <c r="AB17" s="71" t="str">
        <f aca="false">IF(AND($C17="Goal",AB$7&gt;=$F17,AB$7&lt;=$F17+$G17-1),2,IF(AND($C17="Milestone",AB$7&gt;=$F17,AB$7&lt;=$F17+$G17-1),1,""))</f>
        <v/>
      </c>
      <c r="AC17" s="71" t="str">
        <f aca="false">IF(AND($C17="Goal",AC$7&gt;=$F17,AC$7&lt;=$F17+$G17-1),2,IF(AND($C17="Milestone",AC$7&gt;=$F17,AC$7&lt;=$F17+$G17-1),1,""))</f>
        <v/>
      </c>
      <c r="AD17" s="71" t="str">
        <f aca="false">IF(AND($C17="Goal",AD$7&gt;=$F17,AD$7&lt;=$F17+$G17-1),2,IF(AND($C17="Milestone",AD$7&gt;=$F17,AD$7&lt;=$F17+$G17-1),1,""))</f>
        <v/>
      </c>
      <c r="AE17" s="71" t="str">
        <f aca="false">IF(AND($C17="Goal",AE$7&gt;=$F17,AE$7&lt;=$F17+$G17-1),2,IF(AND($C17="Milestone",AE$7&gt;=$F17,AE$7&lt;=$F17+$G17-1),1,""))</f>
        <v/>
      </c>
      <c r="AF17" s="71" t="str">
        <f aca="false">IF(AND($C17="Goal",AF$7&gt;=$F17,AF$7&lt;=$F17+$G17-1),2,IF(AND($C17="Milestone",AF$7&gt;=$F17,AF$7&lt;=$F17+$G17-1),1,""))</f>
        <v/>
      </c>
      <c r="AG17" s="71" t="str">
        <f aca="false">IF(AND($C17="Goal",AG$7&gt;=$F17,AG$7&lt;=$F17+$G17-1),2,IF(AND($C17="Milestone",AG$7&gt;=$F17,AG$7&lt;=$F17+$G17-1),1,""))</f>
        <v/>
      </c>
      <c r="AH17" s="71" t="str">
        <f aca="false">IF(AND($C17="Goal",AH$7&gt;=$F17,AH$7&lt;=$F17+$G17-1),2,IF(AND($C17="Milestone",AH$7&gt;=$F17,AH$7&lt;=$F17+$G17-1),1,""))</f>
        <v/>
      </c>
      <c r="AI17" s="71" t="str">
        <f aca="false">IF(AND($C17="Goal",AI$7&gt;=$F17,AI$7&lt;=$F17+$G17-1),2,IF(AND($C17="Milestone",AI$7&gt;=$F17,AI$7&lt;=$F17+$G17-1),1,""))</f>
        <v/>
      </c>
      <c r="AJ17" s="71" t="str">
        <f aca="false">IF(AND($C17="Goal",AJ$7&gt;=$F17,AJ$7&lt;=$F17+$G17-1),2,IF(AND($C17="Milestone",AJ$7&gt;=$F17,AJ$7&lt;=$F17+$G17-1),1,""))</f>
        <v/>
      </c>
      <c r="AK17" s="71" t="str">
        <f aca="false">IF(AND($C17="Goal",AK$7&gt;=$F17,AK$7&lt;=$F17+$G17-1),2,IF(AND($C17="Milestone",AK$7&gt;=$F17,AK$7&lt;=$F17+$G17-1),1,""))</f>
        <v/>
      </c>
      <c r="AL17" s="71" t="str">
        <f aca="false">IF(AND($C17="Goal",AL$7&gt;=$F17,AL$7&lt;=$F17+$G17-1),2,IF(AND($C17="Milestone",AL$7&gt;=$F17,AL$7&lt;=$F17+$G17-1),1,""))</f>
        <v/>
      </c>
      <c r="AM17" s="71" t="str">
        <f aca="false">IF(AND($C17="Goal",AM$7&gt;=$F17,AM$7&lt;=$F17+$G17-1),2,IF(AND($C17="Milestone",AM$7&gt;=$F17,AM$7&lt;=$F17+$G17-1),1,""))</f>
        <v/>
      </c>
      <c r="AN17" s="71" t="str">
        <f aca="false">IF(AND($C17="Goal",AN$7&gt;=$F17,AN$7&lt;=$F17+$G17-1),2,IF(AND($C17="Milestone",AN$7&gt;=$F17,AN$7&lt;=$F17+$G17-1),1,""))</f>
        <v/>
      </c>
      <c r="AO17" s="71" t="str">
        <f aca="false">IF(AND($C17="Goal",AO$7&gt;=$F17,AO$7&lt;=$F17+$G17-1),2,IF(AND($C17="Milestone",AO$7&gt;=$F17,AO$7&lt;=$F17+$G17-1),1,""))</f>
        <v/>
      </c>
      <c r="AP17" s="71" t="str">
        <f aca="false">IF(AND($C17="Goal",AP$7&gt;=$F17,AP$7&lt;=$F17+$G17-1),2,IF(AND($C17="Milestone",AP$7&gt;=$F17,AP$7&lt;=$F17+$G17-1),1,""))</f>
        <v/>
      </c>
      <c r="AQ17" s="71" t="str">
        <f aca="false">IF(AND($C17="Goal",AQ$7&gt;=$F17,AQ$7&lt;=$F17+$G17-1),2,IF(AND($C17="Milestone",AQ$7&gt;=$F17,AQ$7&lt;=$F17+$G17-1),1,""))</f>
        <v/>
      </c>
      <c r="AR17" s="71" t="str">
        <f aca="false">IF(AND($C17="Goal",AR$7&gt;=$F17,AR$7&lt;=$F17+$G17-1),2,IF(AND($C17="Milestone",AR$7&gt;=$F17,AR$7&lt;=$F17+$G17-1),1,""))</f>
        <v/>
      </c>
      <c r="AS17" s="71" t="str">
        <f aca="false">IF(AND($C17="Goal",AS$7&gt;=$F17,AS$7&lt;=$F17+$G17-1),2,IF(AND($C17="Milestone",AS$7&gt;=$F17,AS$7&lt;=$F17+$G17-1),1,""))</f>
        <v/>
      </c>
      <c r="AT17" s="71" t="str">
        <f aca="false">IF(AND($C17="Goal",AT$7&gt;=$F17,AT$7&lt;=$F17+$G17-1),2,IF(AND($C17="Milestone",AT$7&gt;=$F17,AT$7&lt;=$F17+$G17-1),1,""))</f>
        <v/>
      </c>
      <c r="AU17" s="71" t="str">
        <f aca="false">IF(AND($C17="Goal",AU$7&gt;=$F17,AU$7&lt;=$F17+$G17-1),2,IF(AND($C17="Milestone",AU$7&gt;=$F17,AU$7&lt;=$F17+$G17-1),1,""))</f>
        <v/>
      </c>
      <c r="AV17" s="71" t="str">
        <f aca="false">IF(AND($C17="Goal",AV$7&gt;=$F17,AV$7&lt;=$F17+$G17-1),2,IF(AND($C17="Milestone",AV$7&gt;=$F17,AV$7&lt;=$F17+$G17-1),1,""))</f>
        <v/>
      </c>
      <c r="AW17" s="71" t="str">
        <f aca="false">IF(AND($C17="Goal",AW$7&gt;=$F17,AW$7&lt;=$F17+$G17-1),2,IF(AND($C17="Milestone",AW$7&gt;=$F17,AW$7&lt;=$F17+$G17-1),1,""))</f>
        <v/>
      </c>
      <c r="AX17" s="71" t="str">
        <f aca="false">IF(AND($C17="Goal",AX$7&gt;=$F17,AX$7&lt;=$F17+$G17-1),2,IF(AND($C17="Milestone",AX$7&gt;=$F17,AX$7&lt;=$F17+$G17-1),1,""))</f>
        <v/>
      </c>
      <c r="AY17" s="71" t="str">
        <f aca="false">IF(AND($C17="Goal",AY$7&gt;=$F17,AY$7&lt;=$F17+$G17-1),2,IF(AND($C17="Milestone",AY$7&gt;=$F17,AY$7&lt;=$F17+$G17-1),1,""))</f>
        <v/>
      </c>
      <c r="AZ17" s="71" t="str">
        <f aca="false">IF(AND($C17="Goal",AZ$7&gt;=$F17,AZ$7&lt;=$F17+$G17-1),2,IF(AND($C17="Milestone",AZ$7&gt;=$F17,AZ$7&lt;=$F17+$G17-1),1,""))</f>
        <v/>
      </c>
      <c r="BA17" s="71" t="str">
        <f aca="false">IF(AND($C17="Goal",BA$7&gt;=$F17,BA$7&lt;=$F17+$G17-1),2,IF(AND($C17="Milestone",BA$7&gt;=$F17,BA$7&lt;=$F17+$G17-1),1,""))</f>
        <v/>
      </c>
      <c r="BB17" s="71" t="str">
        <f aca="false">IF(AND($C17="Goal",BB$7&gt;=$F17,BB$7&lt;=$F17+$G17-1),2,IF(AND($C17="Milestone",BB$7&gt;=$F17,BB$7&lt;=$F17+$G17-1),1,""))</f>
        <v/>
      </c>
      <c r="BC17" s="71" t="str">
        <f aca="false">IF(AND($C17="Goal",BC$7&gt;=$F17,BC$7&lt;=$F17+$G17-1),2,IF(AND($C17="Milestone",BC$7&gt;=$F17,BC$7&lt;=$F17+$G17-1),1,""))</f>
        <v/>
      </c>
      <c r="BD17" s="71" t="str">
        <f aca="false">IF(AND($C17="Goal",BD$7&gt;=$F17,BD$7&lt;=$F17+$G17-1),2,IF(AND($C17="Milestone",BD$7&gt;=$F17,BD$7&lt;=$F17+$G17-1),1,""))</f>
        <v/>
      </c>
      <c r="BE17" s="71" t="str">
        <f aca="false">IF(AND($C17="Goal",BE$7&gt;=$F17,BE$7&lt;=$F17+$G17-1),2,IF(AND($C17="Milestone",BE$7&gt;=$F17,BE$7&lt;=$F17+$G17-1),1,""))</f>
        <v/>
      </c>
      <c r="BF17" s="71" t="str">
        <f aca="false">IF(AND($C17="Goal",BF$7&gt;=$F17,BF$7&lt;=$F17+$G17-1),2,IF(AND($C17="Milestone",BF$7&gt;=$F17,BF$7&lt;=$F17+$G17-1),1,""))</f>
        <v/>
      </c>
      <c r="BG17" s="71" t="str">
        <f aca="false">IF(AND($C17="Goal",BG$7&gt;=$F17,BG$7&lt;=$F17+$G17-1),2,IF(AND($C17="Milestone",BG$7&gt;=$F17,BG$7&lt;=$F17+$G17-1),1,""))</f>
        <v/>
      </c>
      <c r="BH17" s="71" t="str">
        <f aca="false">IF(AND($C17="Goal",BH$7&gt;=$F17,BH$7&lt;=$F17+$G17-1),2,IF(AND($C17="Milestone",BH$7&gt;=$F17,BH$7&lt;=$F17+$G17-1),1,""))</f>
        <v/>
      </c>
      <c r="BI17" s="71" t="str">
        <f aca="false">IF(AND($C17="Goal",BI$7&gt;=$F17,BI$7&lt;=$F17+$G17-1),2,IF(AND($C17="Milestone",BI$7&gt;=$F17,BI$7&lt;=$F17+$G17-1),1,""))</f>
        <v/>
      </c>
      <c r="BJ17" s="71" t="str">
        <f aca="false">IF(AND($C17="Goal",BJ$7&gt;=$F17,BJ$7&lt;=$F17+$G17-1),2,IF(AND($C17="Milestone",BJ$7&gt;=$F17,BJ$7&lt;=$F17+$G17-1),1,""))</f>
        <v/>
      </c>
      <c r="BK17" s="71" t="str">
        <f aca="false">IF(AND($C17="Goal",BK$7&gt;=$F17,BK$7&lt;=$F17+$G17-1),2,IF(AND($C17="Milestone",BK$7&gt;=$F17,BK$7&lt;=$F17+$G17-1),1,""))</f>
        <v/>
      </c>
      <c r="BL17" s="71" t="str">
        <f aca="false">IF(AND($C17="Goal",BL$7&gt;=$F17,BL$7&lt;=$F17+$G17-1),2,IF(AND($C17="Milestone",BL$7&gt;=$F17,BL$7&lt;=$F17+$G17-1),1,""))</f>
        <v/>
      </c>
    </row>
    <row r="18" s="25" customFormat="true" ht="39.75" hidden="false" customHeight="true" outlineLevel="0" collapsed="false">
      <c r="A18" s="15"/>
      <c r="B18" s="101" t="s">
        <v>81</v>
      </c>
      <c r="C18" s="67" t="s">
        <v>35</v>
      </c>
      <c r="D18" s="67"/>
      <c r="E18" s="68" t="n">
        <v>0.6</v>
      </c>
      <c r="F18" s="69" t="n">
        <f aca="false">F12+6</f>
        <v>45971</v>
      </c>
      <c r="G18" s="70" t="n">
        <v>13</v>
      </c>
      <c r="H18" s="67"/>
      <c r="I18" s="71" t="str">
        <f aca="false">IF(AND($C18="Goal",I$7&gt;=$F18,I$7&lt;=$F18+$G18-1),2,IF(AND($C18="Milestone",I$7&gt;=$F18,I$7&lt;=$F18+$G18-1),1,""))</f>
        <v/>
      </c>
      <c r="J18" s="71" t="str">
        <f aca="false">IF(AND($C18="Goal",J$7&gt;=$F18,J$7&lt;=$F18+$G18-1),2,IF(AND($C18="Milestone",J$7&gt;=$F18,J$7&lt;=$F18+$G18-1),1,""))</f>
        <v/>
      </c>
      <c r="K18" s="71" t="str">
        <f aca="false">IF(AND($C18="Goal",K$7&gt;=$F18,K$7&lt;=$F18+$G18-1),2,IF(AND($C18="Milestone",K$7&gt;=$F18,K$7&lt;=$F18+$G18-1),1,""))</f>
        <v/>
      </c>
      <c r="L18" s="71" t="str">
        <f aca="false">IF(AND($C18="Goal",L$7&gt;=$F18,L$7&lt;=$F18+$G18-1),2,IF(AND($C18="Milestone",L$7&gt;=$F18,L$7&lt;=$F18+$G18-1),1,""))</f>
        <v/>
      </c>
      <c r="M18" s="71" t="str">
        <f aca="false">IF(AND($C18="Goal",M$7&gt;=$F18,M$7&lt;=$F18+$G18-1),2,IF(AND($C18="Milestone",M$7&gt;=$F18,M$7&lt;=$F18+$G18-1),1,""))</f>
        <v/>
      </c>
      <c r="N18" s="71" t="str">
        <f aca="false">IF(AND($C18="Goal",N$7&gt;=$F18,N$7&lt;=$F18+$G18-1),2,IF(AND($C18="Milestone",N$7&gt;=$F18,N$7&lt;=$F18+$G18-1),1,""))</f>
        <v/>
      </c>
      <c r="O18" s="71" t="str">
        <f aca="false">IF(AND($C18="Goal",O$7&gt;=$F18,O$7&lt;=$F18+$G18-1),2,IF(AND($C18="Milestone",O$7&gt;=$F18,O$7&lt;=$F18+$G18-1),1,""))</f>
        <v/>
      </c>
      <c r="P18" s="71" t="str">
        <f aca="false">IF(AND($C18="Goal",P$7&gt;=$F18,P$7&lt;=$F18+$G18-1),2,IF(AND($C18="Milestone",P$7&gt;=$F18,P$7&lt;=$F18+$G18-1),1,""))</f>
        <v/>
      </c>
      <c r="Q18" s="71" t="str">
        <f aca="false">IF(AND($C18="Goal",Q$7&gt;=$F18,Q$7&lt;=$F18+$G18-1),2,IF(AND($C18="Milestone",Q$7&gt;=$F18,Q$7&lt;=$F18+$G18-1),1,""))</f>
        <v/>
      </c>
      <c r="R18" s="71" t="str">
        <f aca="false">IF(AND($C18="Goal",R$7&gt;=$F18,R$7&lt;=$F18+$G18-1),2,IF(AND($C18="Milestone",R$7&gt;=$F18,R$7&lt;=$F18+$G18-1),1,""))</f>
        <v/>
      </c>
      <c r="S18" s="71" t="str">
        <f aca="false">IF(AND($C18="Goal",S$7&gt;=$F18,S$7&lt;=$F18+$G18-1),2,IF(AND($C18="Milestone",S$7&gt;=$F18,S$7&lt;=$F18+$G18-1),1,""))</f>
        <v/>
      </c>
      <c r="T18" s="71" t="str">
        <f aca="false">IF(AND($C18="Goal",T$7&gt;=$F18,T$7&lt;=$F18+$G18-1),2,IF(AND($C18="Milestone",T$7&gt;=$F18,T$7&lt;=$F18+$G18-1),1,""))</f>
        <v/>
      </c>
      <c r="U18" s="71" t="str">
        <f aca="false">IF(AND($C18="Goal",U$7&gt;=$F18,U$7&lt;=$F18+$G18-1),2,IF(AND($C18="Milestone",U$7&gt;=$F18,U$7&lt;=$F18+$G18-1),1,""))</f>
        <v/>
      </c>
      <c r="V18" s="71" t="str">
        <f aca="false">IF(AND($C18="Goal",V$7&gt;=$F18,V$7&lt;=$F18+$G18-1),2,IF(AND($C18="Milestone",V$7&gt;=$F18,V$7&lt;=$F18+$G18-1),1,""))</f>
        <v/>
      </c>
      <c r="W18" s="71" t="str">
        <f aca="false">IF(AND($C18="Goal",W$7&gt;=$F18,W$7&lt;=$F18+$G18-1),2,IF(AND($C18="Milestone",W$7&gt;=$F18,W$7&lt;=$F18+$G18-1),1,""))</f>
        <v/>
      </c>
      <c r="X18" s="71" t="str">
        <f aca="false">IF(AND($C18="Goal",X$7&gt;=$F18,X$7&lt;=$F18+$G18-1),2,IF(AND($C18="Milestone",X$7&gt;=$F18,X$7&lt;=$F18+$G18-1),1,""))</f>
        <v/>
      </c>
      <c r="Y18" s="71" t="str">
        <f aca="false">IF(AND($C18="Goal",Y$7&gt;=$F18,Y$7&lt;=$F18+$G18-1),2,IF(AND($C18="Milestone",Y$7&gt;=$F18,Y$7&lt;=$F18+$G18-1),1,""))</f>
        <v/>
      </c>
      <c r="Z18" s="71" t="str">
        <f aca="false">IF(AND($C18="Goal",Z$7&gt;=$F18,Z$7&lt;=$F18+$G18-1),2,IF(AND($C18="Milestone",Z$7&gt;=$F18,Z$7&lt;=$F18+$G18-1),1,""))</f>
        <v/>
      </c>
      <c r="AA18" s="71" t="str">
        <f aca="false">IF(AND($C18="Goal",AA$7&gt;=$F18,AA$7&lt;=$F18+$G18-1),2,IF(AND($C18="Milestone",AA$7&gt;=$F18,AA$7&lt;=$F18+$G18-1),1,""))</f>
        <v/>
      </c>
      <c r="AB18" s="71" t="str">
        <f aca="false">IF(AND($C18="Goal",AB$7&gt;=$F18,AB$7&lt;=$F18+$G18-1),2,IF(AND($C18="Milestone",AB$7&gt;=$F18,AB$7&lt;=$F18+$G18-1),1,""))</f>
        <v/>
      </c>
      <c r="AC18" s="71" t="str">
        <f aca="false">IF(AND($C18="Goal",AC$7&gt;=$F18,AC$7&lt;=$F18+$G18-1),2,IF(AND($C18="Milestone",AC$7&gt;=$F18,AC$7&lt;=$F18+$G18-1),1,""))</f>
        <v/>
      </c>
      <c r="AD18" s="71" t="str">
        <f aca="false">IF(AND($C18="Goal",AD$7&gt;=$F18,AD$7&lt;=$F18+$G18-1),2,IF(AND($C18="Milestone",AD$7&gt;=$F18,AD$7&lt;=$F18+$G18-1),1,""))</f>
        <v/>
      </c>
      <c r="AE18" s="71" t="str">
        <f aca="false">IF(AND($C18="Goal",AE$7&gt;=$F18,AE$7&lt;=$F18+$G18-1),2,IF(AND($C18="Milestone",AE$7&gt;=$F18,AE$7&lt;=$F18+$G18-1),1,""))</f>
        <v/>
      </c>
      <c r="AF18" s="71" t="str">
        <f aca="false">IF(AND($C18="Goal",AF$7&gt;=$F18,AF$7&lt;=$F18+$G18-1),2,IF(AND($C18="Milestone",AF$7&gt;=$F18,AF$7&lt;=$F18+$G18-1),1,""))</f>
        <v/>
      </c>
      <c r="AG18" s="71" t="str">
        <f aca="false">IF(AND($C18="Goal",AG$7&gt;=$F18,AG$7&lt;=$F18+$G18-1),2,IF(AND($C18="Milestone",AG$7&gt;=$F18,AG$7&lt;=$F18+$G18-1),1,""))</f>
        <v/>
      </c>
      <c r="AH18" s="71" t="str">
        <f aca="false">IF(AND($C18="Goal",AH$7&gt;=$F18,AH$7&lt;=$F18+$G18-1),2,IF(AND($C18="Milestone",AH$7&gt;=$F18,AH$7&lt;=$F18+$G18-1),1,""))</f>
        <v/>
      </c>
      <c r="AI18" s="71" t="str">
        <f aca="false">IF(AND($C18="Goal",AI$7&gt;=$F18,AI$7&lt;=$F18+$G18-1),2,IF(AND($C18="Milestone",AI$7&gt;=$F18,AI$7&lt;=$F18+$G18-1),1,""))</f>
        <v/>
      </c>
      <c r="AJ18" s="71" t="str">
        <f aca="false">IF(AND($C18="Goal",AJ$7&gt;=$F18,AJ$7&lt;=$F18+$G18-1),2,IF(AND($C18="Milestone",AJ$7&gt;=$F18,AJ$7&lt;=$F18+$G18-1),1,""))</f>
        <v/>
      </c>
      <c r="AK18" s="71" t="str">
        <f aca="false">IF(AND($C18="Goal",AK$7&gt;=$F18,AK$7&lt;=$F18+$G18-1),2,IF(AND($C18="Milestone",AK$7&gt;=$F18,AK$7&lt;=$F18+$G18-1),1,""))</f>
        <v/>
      </c>
      <c r="AL18" s="71" t="str">
        <f aca="false">IF(AND($C18="Goal",AL$7&gt;=$F18,AL$7&lt;=$F18+$G18-1),2,IF(AND($C18="Milestone",AL$7&gt;=$F18,AL$7&lt;=$F18+$G18-1),1,""))</f>
        <v/>
      </c>
      <c r="AM18" s="71" t="str">
        <f aca="false">IF(AND($C18="Goal",AM$7&gt;=$F18,AM$7&lt;=$F18+$G18-1),2,IF(AND($C18="Milestone",AM$7&gt;=$F18,AM$7&lt;=$F18+$G18-1),1,""))</f>
        <v/>
      </c>
      <c r="AN18" s="71" t="str">
        <f aca="false">IF(AND($C18="Goal",AN$7&gt;=$F18,AN$7&lt;=$F18+$G18-1),2,IF(AND($C18="Milestone",AN$7&gt;=$F18,AN$7&lt;=$F18+$G18-1),1,""))</f>
        <v/>
      </c>
      <c r="AO18" s="71" t="str">
        <f aca="false">IF(AND($C18="Goal",AO$7&gt;=$F18,AO$7&lt;=$F18+$G18-1),2,IF(AND($C18="Milestone",AO$7&gt;=$F18,AO$7&lt;=$F18+$G18-1),1,""))</f>
        <v/>
      </c>
      <c r="AP18" s="71" t="str">
        <f aca="false">IF(AND($C18="Goal",AP$7&gt;=$F18,AP$7&lt;=$F18+$G18-1),2,IF(AND($C18="Milestone",AP$7&gt;=$F18,AP$7&lt;=$F18+$G18-1),1,""))</f>
        <v/>
      </c>
      <c r="AQ18" s="71" t="str">
        <f aca="false">IF(AND($C18="Goal",AQ$7&gt;=$F18,AQ$7&lt;=$F18+$G18-1),2,IF(AND($C18="Milestone",AQ$7&gt;=$F18,AQ$7&lt;=$F18+$G18-1),1,""))</f>
        <v/>
      </c>
      <c r="AR18" s="71" t="str">
        <f aca="false">IF(AND($C18="Goal",AR$7&gt;=$F18,AR$7&lt;=$F18+$G18-1),2,IF(AND($C18="Milestone",AR$7&gt;=$F18,AR$7&lt;=$F18+$G18-1),1,""))</f>
        <v/>
      </c>
      <c r="AS18" s="71" t="str">
        <f aca="false">IF(AND($C18="Goal",AS$7&gt;=$F18,AS$7&lt;=$F18+$G18-1),2,IF(AND($C18="Milestone",AS$7&gt;=$F18,AS$7&lt;=$F18+$G18-1),1,""))</f>
        <v/>
      </c>
      <c r="AT18" s="71" t="str">
        <f aca="false">IF(AND($C18="Goal",AT$7&gt;=$F18,AT$7&lt;=$F18+$G18-1),2,IF(AND($C18="Milestone",AT$7&gt;=$F18,AT$7&lt;=$F18+$G18-1),1,""))</f>
        <v/>
      </c>
      <c r="AU18" s="71" t="str">
        <f aca="false">IF(AND($C18="Goal",AU$7&gt;=$F18,AU$7&lt;=$F18+$G18-1),2,IF(AND($C18="Milestone",AU$7&gt;=$F18,AU$7&lt;=$F18+$G18-1),1,""))</f>
        <v/>
      </c>
      <c r="AV18" s="71" t="str">
        <f aca="false">IF(AND($C18="Goal",AV$7&gt;=$F18,AV$7&lt;=$F18+$G18-1),2,IF(AND($C18="Milestone",AV$7&gt;=$F18,AV$7&lt;=$F18+$G18-1),1,""))</f>
        <v/>
      </c>
      <c r="AW18" s="71" t="str">
        <f aca="false">IF(AND($C18="Goal",AW$7&gt;=$F18,AW$7&lt;=$F18+$G18-1),2,IF(AND($C18="Milestone",AW$7&gt;=$F18,AW$7&lt;=$F18+$G18-1),1,""))</f>
        <v/>
      </c>
      <c r="AX18" s="71" t="str">
        <f aca="false">IF(AND($C18="Goal",AX$7&gt;=$F18,AX$7&lt;=$F18+$G18-1),2,IF(AND($C18="Milestone",AX$7&gt;=$F18,AX$7&lt;=$F18+$G18-1),1,""))</f>
        <v/>
      </c>
      <c r="AY18" s="71" t="str">
        <f aca="false">IF(AND($C18="Goal",AY$7&gt;=$F18,AY$7&lt;=$F18+$G18-1),2,IF(AND($C18="Milestone",AY$7&gt;=$F18,AY$7&lt;=$F18+$G18-1),1,""))</f>
        <v/>
      </c>
      <c r="AZ18" s="71" t="str">
        <f aca="false">IF(AND($C18="Goal",AZ$7&gt;=$F18,AZ$7&lt;=$F18+$G18-1),2,IF(AND($C18="Milestone",AZ$7&gt;=$F18,AZ$7&lt;=$F18+$G18-1),1,""))</f>
        <v/>
      </c>
      <c r="BA18" s="71" t="str">
        <f aca="false">IF(AND($C18="Goal",BA$7&gt;=$F18,BA$7&lt;=$F18+$G18-1),2,IF(AND($C18="Milestone",BA$7&gt;=$F18,BA$7&lt;=$F18+$G18-1),1,""))</f>
        <v/>
      </c>
      <c r="BB18" s="71" t="str">
        <f aca="false">IF(AND($C18="Goal",BB$7&gt;=$F18,BB$7&lt;=$F18+$G18-1),2,IF(AND($C18="Milestone",BB$7&gt;=$F18,BB$7&lt;=$F18+$G18-1),1,""))</f>
        <v/>
      </c>
      <c r="BC18" s="71" t="str">
        <f aca="false">IF(AND($C18="Goal",BC$7&gt;=$F18,BC$7&lt;=$F18+$G18-1),2,IF(AND($C18="Milestone",BC$7&gt;=$F18,BC$7&lt;=$F18+$G18-1),1,""))</f>
        <v/>
      </c>
      <c r="BD18" s="71" t="str">
        <f aca="false">IF(AND($C18="Goal",BD$7&gt;=$F18,BD$7&lt;=$F18+$G18-1),2,IF(AND($C18="Milestone",BD$7&gt;=$F18,BD$7&lt;=$F18+$G18-1),1,""))</f>
        <v/>
      </c>
      <c r="BE18" s="71" t="str">
        <f aca="false">IF(AND($C18="Goal",BE$7&gt;=$F18,BE$7&lt;=$F18+$G18-1),2,IF(AND($C18="Milestone",BE$7&gt;=$F18,BE$7&lt;=$F18+$G18-1),1,""))</f>
        <v/>
      </c>
      <c r="BF18" s="71" t="str">
        <f aca="false">IF(AND($C18="Goal",BF$7&gt;=$F18,BF$7&lt;=$F18+$G18-1),2,IF(AND($C18="Milestone",BF$7&gt;=$F18,BF$7&lt;=$F18+$G18-1),1,""))</f>
        <v/>
      </c>
      <c r="BG18" s="71" t="str">
        <f aca="false">IF(AND($C18="Goal",BG$7&gt;=$F18,BG$7&lt;=$F18+$G18-1),2,IF(AND($C18="Milestone",BG$7&gt;=$F18,BG$7&lt;=$F18+$G18-1),1,""))</f>
        <v/>
      </c>
      <c r="BH18" s="71" t="str">
        <f aca="false">IF(AND($C18="Goal",BH$7&gt;=$F18,BH$7&lt;=$F18+$G18-1),2,IF(AND($C18="Milestone",BH$7&gt;=$F18,BH$7&lt;=$F18+$G18-1),1,""))</f>
        <v/>
      </c>
      <c r="BI18" s="71" t="str">
        <f aca="false">IF(AND($C18="Goal",BI$7&gt;=$F18,BI$7&lt;=$F18+$G18-1),2,IF(AND($C18="Milestone",BI$7&gt;=$F18,BI$7&lt;=$F18+$G18-1),1,""))</f>
        <v/>
      </c>
      <c r="BJ18" s="71" t="str">
        <f aca="false">IF(AND($C18="Goal",BJ$7&gt;=$F18,BJ$7&lt;=$F18+$G18-1),2,IF(AND($C18="Milestone",BJ$7&gt;=$F18,BJ$7&lt;=$F18+$G18-1),1,""))</f>
        <v/>
      </c>
      <c r="BK18" s="71" t="str">
        <f aca="false">IF(AND($C18="Goal",BK$7&gt;=$F18,BK$7&lt;=$F18+$G18-1),2,IF(AND($C18="Milestone",BK$7&gt;=$F18,BK$7&lt;=$F18+$G18-1),1,""))</f>
        <v/>
      </c>
      <c r="BL18" s="71" t="str">
        <f aca="false">IF(AND($C18="Goal",BL$7&gt;=$F18,BL$7&lt;=$F18+$G18-1),2,IF(AND($C18="Milestone",BL$7&gt;=$F18,BL$7&lt;=$F18+$G18-1),1,""))</f>
        <v/>
      </c>
    </row>
    <row r="19" s="25" customFormat="true" ht="39.75" hidden="false" customHeight="true" outlineLevel="0" collapsed="false">
      <c r="A19" s="13"/>
      <c r="B19" s="101" t="s">
        <v>84</v>
      </c>
      <c r="C19" s="67" t="s">
        <v>90</v>
      </c>
      <c r="D19" s="67"/>
      <c r="E19" s="68" t="n">
        <v>0.5</v>
      </c>
      <c r="F19" s="69" t="n">
        <f aca="false">F18+2</f>
        <v>45973</v>
      </c>
      <c r="G19" s="70" t="n">
        <v>9</v>
      </c>
      <c r="H19" s="67"/>
      <c r="I19" s="71" t="str">
        <f aca="false">IF(AND($C19="Goal",I$7&gt;=$F19,I$7&lt;=$F19+$G19-1),2,IF(AND($C19="Milestone",I$7&gt;=$F19,I$7&lt;=$F19+$G19-1),1,""))</f>
        <v/>
      </c>
      <c r="J19" s="71" t="str">
        <f aca="false">IF(AND($C19="Goal",J$7&gt;=$F19,J$7&lt;=$F19+$G19-1),2,IF(AND($C19="Milestone",J$7&gt;=$F19,J$7&lt;=$F19+$G19-1),1,""))</f>
        <v/>
      </c>
      <c r="K19" s="71" t="str">
        <f aca="false">IF(AND($C19="Goal",K$7&gt;=$F19,K$7&lt;=$F19+$G19-1),2,IF(AND($C19="Milestone",K$7&gt;=$F19,K$7&lt;=$F19+$G19-1),1,""))</f>
        <v/>
      </c>
      <c r="L19" s="71" t="str">
        <f aca="false">IF(AND($C19="Goal",L$7&gt;=$F19,L$7&lt;=$F19+$G19-1),2,IF(AND($C19="Milestone",L$7&gt;=$F19,L$7&lt;=$F19+$G19-1),1,""))</f>
        <v/>
      </c>
      <c r="M19" s="71" t="str">
        <f aca="false">IF(AND($C19="Goal",M$7&gt;=$F19,M$7&lt;=$F19+$G19-1),2,IF(AND($C19="Milestone",M$7&gt;=$F19,M$7&lt;=$F19+$G19-1),1,""))</f>
        <v/>
      </c>
      <c r="N19" s="71" t="str">
        <f aca="false">IF(AND($C19="Goal",N$7&gt;=$F19,N$7&lt;=$F19+$G19-1),2,IF(AND($C19="Milestone",N$7&gt;=$F19,N$7&lt;=$F19+$G19-1),1,""))</f>
        <v/>
      </c>
      <c r="O19" s="71" t="str">
        <f aca="false">IF(AND($C19="Goal",O$7&gt;=$F19,O$7&lt;=$F19+$G19-1),2,IF(AND($C19="Milestone",O$7&gt;=$F19,O$7&lt;=$F19+$G19-1),1,""))</f>
        <v/>
      </c>
      <c r="P19" s="71" t="str">
        <f aca="false">IF(AND($C19="Goal",P$7&gt;=$F19,P$7&lt;=$F19+$G19-1),2,IF(AND($C19="Milestone",P$7&gt;=$F19,P$7&lt;=$F19+$G19-1),1,""))</f>
        <v/>
      </c>
      <c r="Q19" s="71" t="str">
        <f aca="false">IF(AND($C19="Goal",Q$7&gt;=$F19,Q$7&lt;=$F19+$G19-1),2,IF(AND($C19="Milestone",Q$7&gt;=$F19,Q$7&lt;=$F19+$G19-1),1,""))</f>
        <v/>
      </c>
      <c r="R19" s="71" t="str">
        <f aca="false">IF(AND($C19="Goal",R$7&gt;=$F19,R$7&lt;=$F19+$G19-1),2,IF(AND($C19="Milestone",R$7&gt;=$F19,R$7&lt;=$F19+$G19-1),1,""))</f>
        <v/>
      </c>
      <c r="S19" s="71" t="str">
        <f aca="false">IF(AND($C19="Goal",S$7&gt;=$F19,S$7&lt;=$F19+$G19-1),2,IF(AND($C19="Milestone",S$7&gt;=$F19,S$7&lt;=$F19+$G19-1),1,""))</f>
        <v/>
      </c>
      <c r="T19" s="71" t="str">
        <f aca="false">IF(AND($C19="Goal",T$7&gt;=$F19,T$7&lt;=$F19+$G19-1),2,IF(AND($C19="Milestone",T$7&gt;=$F19,T$7&lt;=$F19+$G19-1),1,""))</f>
        <v/>
      </c>
      <c r="U19" s="71" t="str">
        <f aca="false">IF(AND($C19="Goal",U$7&gt;=$F19,U$7&lt;=$F19+$G19-1),2,IF(AND($C19="Milestone",U$7&gt;=$F19,U$7&lt;=$F19+$G19-1),1,""))</f>
        <v/>
      </c>
      <c r="V19" s="71" t="str">
        <f aca="false">IF(AND($C19="Goal",V$7&gt;=$F19,V$7&lt;=$F19+$G19-1),2,IF(AND($C19="Milestone",V$7&gt;=$F19,V$7&lt;=$F19+$G19-1),1,""))</f>
        <v/>
      </c>
      <c r="W19" s="71" t="str">
        <f aca="false">IF(AND($C19="Goal",W$7&gt;=$F19,W$7&lt;=$F19+$G19-1),2,IF(AND($C19="Milestone",W$7&gt;=$F19,W$7&lt;=$F19+$G19-1),1,""))</f>
        <v/>
      </c>
      <c r="X19" s="71" t="str">
        <f aca="false">IF(AND($C19="Goal",X$7&gt;=$F19,X$7&lt;=$F19+$G19-1),2,IF(AND($C19="Milestone",X$7&gt;=$F19,X$7&lt;=$F19+$G19-1),1,""))</f>
        <v/>
      </c>
      <c r="Y19" s="71" t="str">
        <f aca="false">IF(AND($C19="Goal",Y$7&gt;=$F19,Y$7&lt;=$F19+$G19-1),2,IF(AND($C19="Milestone",Y$7&gt;=$F19,Y$7&lt;=$F19+$G19-1),1,""))</f>
        <v/>
      </c>
      <c r="Z19" s="71" t="str">
        <f aca="false">IF(AND($C19="Goal",Z$7&gt;=$F19,Z$7&lt;=$F19+$G19-1),2,IF(AND($C19="Milestone",Z$7&gt;=$F19,Z$7&lt;=$F19+$G19-1),1,""))</f>
        <v/>
      </c>
      <c r="AA19" s="71" t="str">
        <f aca="false">IF(AND($C19="Goal",AA$7&gt;=$F19,AA$7&lt;=$F19+$G19-1),2,IF(AND($C19="Milestone",AA$7&gt;=$F19,AA$7&lt;=$F19+$G19-1),1,""))</f>
        <v/>
      </c>
      <c r="AB19" s="71" t="str">
        <f aca="false">IF(AND($C19="Goal",AB$7&gt;=$F19,AB$7&lt;=$F19+$G19-1),2,IF(AND($C19="Milestone",AB$7&gt;=$F19,AB$7&lt;=$F19+$G19-1),1,""))</f>
        <v/>
      </c>
      <c r="AC19" s="71" t="str">
        <f aca="false">IF(AND($C19="Goal",AC$7&gt;=$F19,AC$7&lt;=$F19+$G19-1),2,IF(AND($C19="Milestone",AC$7&gt;=$F19,AC$7&lt;=$F19+$G19-1),1,""))</f>
        <v/>
      </c>
      <c r="AD19" s="71" t="str">
        <f aca="false">IF(AND($C19="Goal",AD$7&gt;=$F19,AD$7&lt;=$F19+$G19-1),2,IF(AND($C19="Milestone",AD$7&gt;=$F19,AD$7&lt;=$F19+$G19-1),1,""))</f>
        <v/>
      </c>
      <c r="AE19" s="71" t="str">
        <f aca="false">IF(AND($C19="Goal",AE$7&gt;=$F19,AE$7&lt;=$F19+$G19-1),2,IF(AND($C19="Milestone",AE$7&gt;=$F19,AE$7&lt;=$F19+$G19-1),1,""))</f>
        <v/>
      </c>
      <c r="AF19" s="71" t="str">
        <f aca="false">IF(AND($C19="Goal",AF$7&gt;=$F19,AF$7&lt;=$F19+$G19-1),2,IF(AND($C19="Milestone",AF$7&gt;=$F19,AF$7&lt;=$F19+$G19-1),1,""))</f>
        <v/>
      </c>
      <c r="AG19" s="71" t="str">
        <f aca="false">IF(AND($C19="Goal",AG$7&gt;=$F19,AG$7&lt;=$F19+$G19-1),2,IF(AND($C19="Milestone",AG$7&gt;=$F19,AG$7&lt;=$F19+$G19-1),1,""))</f>
        <v/>
      </c>
      <c r="AH19" s="71" t="str">
        <f aca="false">IF(AND($C19="Goal",AH$7&gt;=$F19,AH$7&lt;=$F19+$G19-1),2,IF(AND($C19="Milestone",AH$7&gt;=$F19,AH$7&lt;=$F19+$G19-1),1,""))</f>
        <v/>
      </c>
      <c r="AI19" s="71" t="str">
        <f aca="false">IF(AND($C19="Goal",AI$7&gt;=$F19,AI$7&lt;=$F19+$G19-1),2,IF(AND($C19="Milestone",AI$7&gt;=$F19,AI$7&lt;=$F19+$G19-1),1,""))</f>
        <v/>
      </c>
      <c r="AJ19" s="71" t="str">
        <f aca="false">IF(AND($C19="Goal",AJ$7&gt;=$F19,AJ$7&lt;=$F19+$G19-1),2,IF(AND($C19="Milestone",AJ$7&gt;=$F19,AJ$7&lt;=$F19+$G19-1),1,""))</f>
        <v/>
      </c>
      <c r="AK19" s="71" t="str">
        <f aca="false">IF(AND($C19="Goal",AK$7&gt;=$F19,AK$7&lt;=$F19+$G19-1),2,IF(AND($C19="Milestone",AK$7&gt;=$F19,AK$7&lt;=$F19+$G19-1),1,""))</f>
        <v/>
      </c>
      <c r="AL19" s="71" t="str">
        <f aca="false">IF(AND($C19="Goal",AL$7&gt;=$F19,AL$7&lt;=$F19+$G19-1),2,IF(AND($C19="Milestone",AL$7&gt;=$F19,AL$7&lt;=$F19+$G19-1),1,""))</f>
        <v/>
      </c>
      <c r="AM19" s="71" t="str">
        <f aca="false">IF(AND($C19="Goal",AM$7&gt;=$F19,AM$7&lt;=$F19+$G19-1),2,IF(AND($C19="Milestone",AM$7&gt;=$F19,AM$7&lt;=$F19+$G19-1),1,""))</f>
        <v/>
      </c>
      <c r="AN19" s="71" t="str">
        <f aca="false">IF(AND($C19="Goal",AN$7&gt;=$F19,AN$7&lt;=$F19+$G19-1),2,IF(AND($C19="Milestone",AN$7&gt;=$F19,AN$7&lt;=$F19+$G19-1),1,""))</f>
        <v/>
      </c>
      <c r="AO19" s="71" t="str">
        <f aca="false">IF(AND($C19="Goal",AO$7&gt;=$F19,AO$7&lt;=$F19+$G19-1),2,IF(AND($C19="Milestone",AO$7&gt;=$F19,AO$7&lt;=$F19+$G19-1),1,""))</f>
        <v/>
      </c>
      <c r="AP19" s="71" t="str">
        <f aca="false">IF(AND($C19="Goal",AP$7&gt;=$F19,AP$7&lt;=$F19+$G19-1),2,IF(AND($C19="Milestone",AP$7&gt;=$F19,AP$7&lt;=$F19+$G19-1),1,""))</f>
        <v/>
      </c>
      <c r="AQ19" s="71" t="str">
        <f aca="false">IF(AND($C19="Goal",AQ$7&gt;=$F19,AQ$7&lt;=$F19+$G19-1),2,IF(AND($C19="Milestone",AQ$7&gt;=$F19,AQ$7&lt;=$F19+$G19-1),1,""))</f>
        <v/>
      </c>
      <c r="AR19" s="71" t="str">
        <f aca="false">IF(AND($C19="Goal",AR$7&gt;=$F19,AR$7&lt;=$F19+$G19-1),2,IF(AND($C19="Milestone",AR$7&gt;=$F19,AR$7&lt;=$F19+$G19-1),1,""))</f>
        <v/>
      </c>
      <c r="AS19" s="71" t="str">
        <f aca="false">IF(AND($C19="Goal",AS$7&gt;=$F19,AS$7&lt;=$F19+$G19-1),2,IF(AND($C19="Milestone",AS$7&gt;=$F19,AS$7&lt;=$F19+$G19-1),1,""))</f>
        <v/>
      </c>
      <c r="AT19" s="71" t="str">
        <f aca="false">IF(AND($C19="Goal",AT$7&gt;=$F19,AT$7&lt;=$F19+$G19-1),2,IF(AND($C19="Milestone",AT$7&gt;=$F19,AT$7&lt;=$F19+$G19-1),1,""))</f>
        <v/>
      </c>
      <c r="AU19" s="71" t="str">
        <f aca="false">IF(AND($C19="Goal",AU$7&gt;=$F19,AU$7&lt;=$F19+$G19-1),2,IF(AND($C19="Milestone",AU$7&gt;=$F19,AU$7&lt;=$F19+$G19-1),1,""))</f>
        <v/>
      </c>
      <c r="AV19" s="71" t="str">
        <f aca="false">IF(AND($C19="Goal",AV$7&gt;=$F19,AV$7&lt;=$F19+$G19-1),2,IF(AND($C19="Milestone",AV$7&gt;=$F19,AV$7&lt;=$F19+$G19-1),1,""))</f>
        <v/>
      </c>
      <c r="AW19" s="71" t="str">
        <f aca="false">IF(AND($C19="Goal",AW$7&gt;=$F19,AW$7&lt;=$F19+$G19-1),2,IF(AND($C19="Milestone",AW$7&gt;=$F19,AW$7&lt;=$F19+$G19-1),1,""))</f>
        <v/>
      </c>
      <c r="AX19" s="71" t="str">
        <f aca="false">IF(AND($C19="Goal",AX$7&gt;=$F19,AX$7&lt;=$F19+$G19-1),2,IF(AND($C19="Milestone",AX$7&gt;=$F19,AX$7&lt;=$F19+$G19-1),1,""))</f>
        <v/>
      </c>
      <c r="AY19" s="71" t="str">
        <f aca="false">IF(AND($C19="Goal",AY$7&gt;=$F19,AY$7&lt;=$F19+$G19-1),2,IF(AND($C19="Milestone",AY$7&gt;=$F19,AY$7&lt;=$F19+$G19-1),1,""))</f>
        <v/>
      </c>
      <c r="AZ19" s="71" t="str">
        <f aca="false">IF(AND($C19="Goal",AZ$7&gt;=$F19,AZ$7&lt;=$F19+$G19-1),2,IF(AND($C19="Milestone",AZ$7&gt;=$F19,AZ$7&lt;=$F19+$G19-1),1,""))</f>
        <v/>
      </c>
      <c r="BA19" s="71" t="str">
        <f aca="false">IF(AND($C19="Goal",BA$7&gt;=$F19,BA$7&lt;=$F19+$G19-1),2,IF(AND($C19="Milestone",BA$7&gt;=$F19,BA$7&lt;=$F19+$G19-1),1,""))</f>
        <v/>
      </c>
      <c r="BB19" s="71" t="str">
        <f aca="false">IF(AND($C19="Goal",BB$7&gt;=$F19,BB$7&lt;=$F19+$G19-1),2,IF(AND($C19="Milestone",BB$7&gt;=$F19,BB$7&lt;=$F19+$G19-1),1,""))</f>
        <v/>
      </c>
      <c r="BC19" s="71" t="str">
        <f aca="false">IF(AND($C19="Goal",BC$7&gt;=$F19,BC$7&lt;=$F19+$G19-1),2,IF(AND($C19="Milestone",BC$7&gt;=$F19,BC$7&lt;=$F19+$G19-1),1,""))</f>
        <v/>
      </c>
      <c r="BD19" s="71" t="str">
        <f aca="false">IF(AND($C19="Goal",BD$7&gt;=$F19,BD$7&lt;=$F19+$G19-1),2,IF(AND($C19="Milestone",BD$7&gt;=$F19,BD$7&lt;=$F19+$G19-1),1,""))</f>
        <v/>
      </c>
      <c r="BE19" s="71" t="str">
        <f aca="false">IF(AND($C19="Goal",BE$7&gt;=$F19,BE$7&lt;=$F19+$G19-1),2,IF(AND($C19="Milestone",BE$7&gt;=$F19,BE$7&lt;=$F19+$G19-1),1,""))</f>
        <v/>
      </c>
      <c r="BF19" s="71" t="str">
        <f aca="false">IF(AND($C19="Goal",BF$7&gt;=$F19,BF$7&lt;=$F19+$G19-1),2,IF(AND($C19="Milestone",BF$7&gt;=$F19,BF$7&lt;=$F19+$G19-1),1,""))</f>
        <v/>
      </c>
      <c r="BG19" s="71" t="str">
        <f aca="false">IF(AND($C19="Goal",BG$7&gt;=$F19,BG$7&lt;=$F19+$G19-1),2,IF(AND($C19="Milestone",BG$7&gt;=$F19,BG$7&lt;=$F19+$G19-1),1,""))</f>
        <v/>
      </c>
      <c r="BH19" s="71" t="str">
        <f aca="false">IF(AND($C19="Goal",BH$7&gt;=$F19,BH$7&lt;=$F19+$G19-1),2,IF(AND($C19="Milestone",BH$7&gt;=$F19,BH$7&lt;=$F19+$G19-1),1,""))</f>
        <v/>
      </c>
      <c r="BI19" s="71" t="str">
        <f aca="false">IF(AND($C19="Goal",BI$7&gt;=$F19,BI$7&lt;=$F19+$G19-1),2,IF(AND($C19="Milestone",BI$7&gt;=$F19,BI$7&lt;=$F19+$G19-1),1,""))</f>
        <v/>
      </c>
      <c r="BJ19" s="71" t="str">
        <f aca="false">IF(AND($C19="Goal",BJ$7&gt;=$F19,BJ$7&lt;=$F19+$G19-1),2,IF(AND($C19="Milestone",BJ$7&gt;=$F19,BJ$7&lt;=$F19+$G19-1),1,""))</f>
        <v/>
      </c>
      <c r="BK19" s="71" t="str">
        <f aca="false">IF(AND($C19="Goal",BK$7&gt;=$F19,BK$7&lt;=$F19+$G19-1),2,IF(AND($C19="Milestone",BK$7&gt;=$F19,BK$7&lt;=$F19+$G19-1),1,""))</f>
        <v/>
      </c>
      <c r="BL19" s="71" t="str">
        <f aca="false">IF(AND($C19="Goal",BL$7&gt;=$F19,BL$7&lt;=$F19+$G19-1),2,IF(AND($C19="Milestone",BL$7&gt;=$F19,BL$7&lt;=$F19+$G19-1),1,""))</f>
        <v/>
      </c>
    </row>
    <row r="20" s="25" customFormat="true" ht="39.75" hidden="false" customHeight="true" outlineLevel="0" collapsed="false">
      <c r="A20" s="13"/>
      <c r="B20" s="101" t="s">
        <v>86</v>
      </c>
      <c r="C20" s="67" t="s">
        <v>23</v>
      </c>
      <c r="D20" s="67"/>
      <c r="E20" s="68" t="n">
        <v>0.33</v>
      </c>
      <c r="F20" s="69" t="n">
        <f aca="false">F19+5</f>
        <v>45978</v>
      </c>
      <c r="G20" s="70" t="n">
        <v>11</v>
      </c>
      <c r="H20" s="67"/>
      <c r="I20" s="71" t="str">
        <f aca="false">IF(AND($C20="Goal",I$7&gt;=$F20,I$7&lt;=$F20+$G20-1),2,IF(AND($C20="Milestone",I$7&gt;=$F20,I$7&lt;=$F20+$G20-1),1,""))</f>
        <v/>
      </c>
      <c r="J20" s="71" t="str">
        <f aca="false">IF(AND($C20="Goal",J$7&gt;=$F20,J$7&lt;=$F20+$G20-1),2,IF(AND($C20="Milestone",J$7&gt;=$F20,J$7&lt;=$F20+$G20-1),1,""))</f>
        <v/>
      </c>
      <c r="K20" s="71" t="str">
        <f aca="false">IF(AND($C20="Goal",K$7&gt;=$F20,K$7&lt;=$F20+$G20-1),2,IF(AND($C20="Milestone",K$7&gt;=$F20,K$7&lt;=$F20+$G20-1),1,""))</f>
        <v/>
      </c>
      <c r="L20" s="71" t="str">
        <f aca="false">IF(AND($C20="Goal",L$7&gt;=$F20,L$7&lt;=$F20+$G20-1),2,IF(AND($C20="Milestone",L$7&gt;=$F20,L$7&lt;=$F20+$G20-1),1,""))</f>
        <v/>
      </c>
      <c r="M20" s="71" t="str">
        <f aca="false">IF(AND($C20="Goal",M$7&gt;=$F20,M$7&lt;=$F20+$G20-1),2,IF(AND($C20="Milestone",M$7&gt;=$F20,M$7&lt;=$F20+$G20-1),1,""))</f>
        <v/>
      </c>
      <c r="N20" s="71" t="str">
        <f aca="false">IF(AND($C20="Goal",N$7&gt;=$F20,N$7&lt;=$F20+$G20-1),2,IF(AND($C20="Milestone",N$7&gt;=$F20,N$7&lt;=$F20+$G20-1),1,""))</f>
        <v/>
      </c>
      <c r="O20" s="71" t="str">
        <f aca="false">IF(AND($C20="Goal",O$7&gt;=$F20,O$7&lt;=$F20+$G20-1),2,IF(AND($C20="Milestone",O$7&gt;=$F20,O$7&lt;=$F20+$G20-1),1,""))</f>
        <v/>
      </c>
      <c r="P20" s="71" t="str">
        <f aca="false">IF(AND($C20="Goal",P$7&gt;=$F20,P$7&lt;=$F20+$G20-1),2,IF(AND($C20="Milestone",P$7&gt;=$F20,P$7&lt;=$F20+$G20-1),1,""))</f>
        <v/>
      </c>
      <c r="Q20" s="71" t="str">
        <f aca="false">IF(AND($C20="Goal",Q$7&gt;=$F20,Q$7&lt;=$F20+$G20-1),2,IF(AND($C20="Milestone",Q$7&gt;=$F20,Q$7&lt;=$F20+$G20-1),1,""))</f>
        <v/>
      </c>
      <c r="R20" s="71" t="str">
        <f aca="false">IF(AND($C20="Goal",R$7&gt;=$F20,R$7&lt;=$F20+$G20-1),2,IF(AND($C20="Milestone",R$7&gt;=$F20,R$7&lt;=$F20+$G20-1),1,""))</f>
        <v/>
      </c>
      <c r="S20" s="71" t="str">
        <f aca="false">IF(AND($C20="Goal",S$7&gt;=$F20,S$7&lt;=$F20+$G20-1),2,IF(AND($C20="Milestone",S$7&gt;=$F20,S$7&lt;=$F20+$G20-1),1,""))</f>
        <v/>
      </c>
      <c r="T20" s="71" t="str">
        <f aca="false">IF(AND($C20="Goal",T$7&gt;=$F20,T$7&lt;=$F20+$G20-1),2,IF(AND($C20="Milestone",T$7&gt;=$F20,T$7&lt;=$F20+$G20-1),1,""))</f>
        <v/>
      </c>
      <c r="U20" s="71" t="str">
        <f aca="false">IF(AND($C20="Goal",U$7&gt;=$F20,U$7&lt;=$F20+$G20-1),2,IF(AND($C20="Milestone",U$7&gt;=$F20,U$7&lt;=$F20+$G20-1),1,""))</f>
        <v/>
      </c>
      <c r="V20" s="71" t="str">
        <f aca="false">IF(AND($C20="Goal",V$7&gt;=$F20,V$7&lt;=$F20+$G20-1),2,IF(AND($C20="Milestone",V$7&gt;=$F20,V$7&lt;=$F20+$G20-1),1,""))</f>
        <v/>
      </c>
      <c r="W20" s="71" t="str">
        <f aca="false">IF(AND($C20="Goal",W$7&gt;=$F20,W$7&lt;=$F20+$G20-1),2,IF(AND($C20="Milestone",W$7&gt;=$F20,W$7&lt;=$F20+$G20-1),1,""))</f>
        <v/>
      </c>
      <c r="X20" s="71" t="str">
        <f aca="false">IF(AND($C20="Goal",X$7&gt;=$F20,X$7&lt;=$F20+$G20-1),2,IF(AND($C20="Milestone",X$7&gt;=$F20,X$7&lt;=$F20+$G20-1),1,""))</f>
        <v/>
      </c>
      <c r="Y20" s="71" t="str">
        <f aca="false">IF(AND($C20="Goal",Y$7&gt;=$F20,Y$7&lt;=$F20+$G20-1),2,IF(AND($C20="Milestone",Y$7&gt;=$F20,Y$7&lt;=$F20+$G20-1),1,""))</f>
        <v/>
      </c>
      <c r="Z20" s="71" t="str">
        <f aca="false">IF(AND($C20="Goal",Z$7&gt;=$F20,Z$7&lt;=$F20+$G20-1),2,IF(AND($C20="Milestone",Z$7&gt;=$F20,Z$7&lt;=$F20+$G20-1),1,""))</f>
        <v/>
      </c>
      <c r="AA20" s="71" t="str">
        <f aca="false">IF(AND($C20="Goal",AA$7&gt;=$F20,AA$7&lt;=$F20+$G20-1),2,IF(AND($C20="Milestone",AA$7&gt;=$F20,AA$7&lt;=$F20+$G20-1),1,""))</f>
        <v/>
      </c>
      <c r="AB20" s="71" t="str">
        <f aca="false">IF(AND($C20="Goal",AB$7&gt;=$F20,AB$7&lt;=$F20+$G20-1),2,IF(AND($C20="Milestone",AB$7&gt;=$F20,AB$7&lt;=$F20+$G20-1),1,""))</f>
        <v/>
      </c>
      <c r="AC20" s="71" t="str">
        <f aca="false">IF(AND($C20="Goal",AC$7&gt;=$F20,AC$7&lt;=$F20+$G20-1),2,IF(AND($C20="Milestone",AC$7&gt;=$F20,AC$7&lt;=$F20+$G20-1),1,""))</f>
        <v/>
      </c>
      <c r="AD20" s="71" t="str">
        <f aca="false">IF(AND($C20="Goal",AD$7&gt;=$F20,AD$7&lt;=$F20+$G20-1),2,IF(AND($C20="Milestone",AD$7&gt;=$F20,AD$7&lt;=$F20+$G20-1),1,""))</f>
        <v/>
      </c>
      <c r="AE20" s="71" t="str">
        <f aca="false">IF(AND($C20="Goal",AE$7&gt;=$F20,AE$7&lt;=$F20+$G20-1),2,IF(AND($C20="Milestone",AE$7&gt;=$F20,AE$7&lt;=$F20+$G20-1),1,""))</f>
        <v/>
      </c>
      <c r="AF20" s="71" t="str">
        <f aca="false">IF(AND($C20="Goal",AF$7&gt;=$F20,AF$7&lt;=$F20+$G20-1),2,IF(AND($C20="Milestone",AF$7&gt;=$F20,AF$7&lt;=$F20+$G20-1),1,""))</f>
        <v/>
      </c>
      <c r="AG20" s="71" t="str">
        <f aca="false">IF(AND($C20="Goal",AG$7&gt;=$F20,AG$7&lt;=$F20+$G20-1),2,IF(AND($C20="Milestone",AG$7&gt;=$F20,AG$7&lt;=$F20+$G20-1),1,""))</f>
        <v/>
      </c>
      <c r="AH20" s="71" t="str">
        <f aca="false">IF(AND($C20="Goal",AH$7&gt;=$F20,AH$7&lt;=$F20+$G20-1),2,IF(AND($C20="Milestone",AH$7&gt;=$F20,AH$7&lt;=$F20+$G20-1),1,""))</f>
        <v/>
      </c>
      <c r="AI20" s="71" t="str">
        <f aca="false">IF(AND($C20="Goal",AI$7&gt;=$F20,AI$7&lt;=$F20+$G20-1),2,IF(AND($C20="Milestone",AI$7&gt;=$F20,AI$7&lt;=$F20+$G20-1),1,""))</f>
        <v/>
      </c>
      <c r="AJ20" s="71" t="str">
        <f aca="false">IF(AND($C20="Goal",AJ$7&gt;=$F20,AJ$7&lt;=$F20+$G20-1),2,IF(AND($C20="Milestone",AJ$7&gt;=$F20,AJ$7&lt;=$F20+$G20-1),1,""))</f>
        <v/>
      </c>
      <c r="AK20" s="71" t="str">
        <f aca="false">IF(AND($C20="Goal",AK$7&gt;=$F20,AK$7&lt;=$F20+$G20-1),2,IF(AND($C20="Milestone",AK$7&gt;=$F20,AK$7&lt;=$F20+$G20-1),1,""))</f>
        <v/>
      </c>
      <c r="AL20" s="71" t="str">
        <f aca="false">IF(AND($C20="Goal",AL$7&gt;=$F20,AL$7&lt;=$F20+$G20-1),2,IF(AND($C20="Milestone",AL$7&gt;=$F20,AL$7&lt;=$F20+$G20-1),1,""))</f>
        <v/>
      </c>
      <c r="AM20" s="71" t="str">
        <f aca="false">IF(AND($C20="Goal",AM$7&gt;=$F20,AM$7&lt;=$F20+$G20-1),2,IF(AND($C20="Milestone",AM$7&gt;=$F20,AM$7&lt;=$F20+$G20-1),1,""))</f>
        <v/>
      </c>
      <c r="AN20" s="71" t="str">
        <f aca="false">IF(AND($C20="Goal",AN$7&gt;=$F20,AN$7&lt;=$F20+$G20-1),2,IF(AND($C20="Milestone",AN$7&gt;=$F20,AN$7&lt;=$F20+$G20-1),1,""))</f>
        <v/>
      </c>
      <c r="AO20" s="71" t="str">
        <f aca="false">IF(AND($C20="Goal",AO$7&gt;=$F20,AO$7&lt;=$F20+$G20-1),2,IF(AND($C20="Milestone",AO$7&gt;=$F20,AO$7&lt;=$F20+$G20-1),1,""))</f>
        <v/>
      </c>
      <c r="AP20" s="71" t="str">
        <f aca="false">IF(AND($C20="Goal",AP$7&gt;=$F20,AP$7&lt;=$F20+$G20-1),2,IF(AND($C20="Milestone",AP$7&gt;=$F20,AP$7&lt;=$F20+$G20-1),1,""))</f>
        <v/>
      </c>
      <c r="AQ20" s="71" t="str">
        <f aca="false">IF(AND($C20="Goal",AQ$7&gt;=$F20,AQ$7&lt;=$F20+$G20-1),2,IF(AND($C20="Milestone",AQ$7&gt;=$F20,AQ$7&lt;=$F20+$G20-1),1,""))</f>
        <v/>
      </c>
      <c r="AR20" s="71" t="str">
        <f aca="false">IF(AND($C20="Goal",AR$7&gt;=$F20,AR$7&lt;=$F20+$G20-1),2,IF(AND($C20="Milestone",AR$7&gt;=$F20,AR$7&lt;=$F20+$G20-1),1,""))</f>
        <v/>
      </c>
      <c r="AS20" s="71" t="str">
        <f aca="false">IF(AND($C20="Goal",AS$7&gt;=$F20,AS$7&lt;=$F20+$G20-1),2,IF(AND($C20="Milestone",AS$7&gt;=$F20,AS$7&lt;=$F20+$G20-1),1,""))</f>
        <v/>
      </c>
      <c r="AT20" s="71" t="str">
        <f aca="false">IF(AND($C20="Goal",AT$7&gt;=$F20,AT$7&lt;=$F20+$G20-1),2,IF(AND($C20="Milestone",AT$7&gt;=$F20,AT$7&lt;=$F20+$G20-1),1,""))</f>
        <v/>
      </c>
      <c r="AU20" s="71" t="str">
        <f aca="false">IF(AND($C20="Goal",AU$7&gt;=$F20,AU$7&lt;=$F20+$G20-1),2,IF(AND($C20="Milestone",AU$7&gt;=$F20,AU$7&lt;=$F20+$G20-1),1,""))</f>
        <v/>
      </c>
      <c r="AV20" s="71" t="str">
        <f aca="false">IF(AND($C20="Goal",AV$7&gt;=$F20,AV$7&lt;=$F20+$G20-1),2,IF(AND($C20="Milestone",AV$7&gt;=$F20,AV$7&lt;=$F20+$G20-1),1,""))</f>
        <v/>
      </c>
      <c r="AW20" s="71" t="str">
        <f aca="false">IF(AND($C20="Goal",AW$7&gt;=$F20,AW$7&lt;=$F20+$G20-1),2,IF(AND($C20="Milestone",AW$7&gt;=$F20,AW$7&lt;=$F20+$G20-1),1,""))</f>
        <v/>
      </c>
      <c r="AX20" s="71" t="str">
        <f aca="false">IF(AND($C20="Goal",AX$7&gt;=$F20,AX$7&lt;=$F20+$G20-1),2,IF(AND($C20="Milestone",AX$7&gt;=$F20,AX$7&lt;=$F20+$G20-1),1,""))</f>
        <v/>
      </c>
      <c r="AY20" s="71" t="str">
        <f aca="false">IF(AND($C20="Goal",AY$7&gt;=$F20,AY$7&lt;=$F20+$G20-1),2,IF(AND($C20="Milestone",AY$7&gt;=$F20,AY$7&lt;=$F20+$G20-1),1,""))</f>
        <v/>
      </c>
      <c r="AZ20" s="71" t="str">
        <f aca="false">IF(AND($C20="Goal",AZ$7&gt;=$F20,AZ$7&lt;=$F20+$G20-1),2,IF(AND($C20="Milestone",AZ$7&gt;=$F20,AZ$7&lt;=$F20+$G20-1),1,""))</f>
        <v/>
      </c>
      <c r="BA20" s="71" t="str">
        <f aca="false">IF(AND($C20="Goal",BA$7&gt;=$F20,BA$7&lt;=$F20+$G20-1),2,IF(AND($C20="Milestone",BA$7&gt;=$F20,BA$7&lt;=$F20+$G20-1),1,""))</f>
        <v/>
      </c>
      <c r="BB20" s="71" t="str">
        <f aca="false">IF(AND($C20="Goal",BB$7&gt;=$F20,BB$7&lt;=$F20+$G20-1),2,IF(AND($C20="Milestone",BB$7&gt;=$F20,BB$7&lt;=$F20+$G20-1),1,""))</f>
        <v/>
      </c>
      <c r="BC20" s="71" t="str">
        <f aca="false">IF(AND($C20="Goal",BC$7&gt;=$F20,BC$7&lt;=$F20+$G20-1),2,IF(AND($C20="Milestone",BC$7&gt;=$F20,BC$7&lt;=$F20+$G20-1),1,""))</f>
        <v/>
      </c>
      <c r="BD20" s="71" t="str">
        <f aca="false">IF(AND($C20="Goal",BD$7&gt;=$F20,BD$7&lt;=$F20+$G20-1),2,IF(AND($C20="Milestone",BD$7&gt;=$F20,BD$7&lt;=$F20+$G20-1),1,""))</f>
        <v/>
      </c>
      <c r="BE20" s="71" t="str">
        <f aca="false">IF(AND($C20="Goal",BE$7&gt;=$F20,BE$7&lt;=$F20+$G20-1),2,IF(AND($C20="Milestone",BE$7&gt;=$F20,BE$7&lt;=$F20+$G20-1),1,""))</f>
        <v/>
      </c>
      <c r="BF20" s="71" t="str">
        <f aca="false">IF(AND($C20="Goal",BF$7&gt;=$F20,BF$7&lt;=$F20+$G20-1),2,IF(AND($C20="Milestone",BF$7&gt;=$F20,BF$7&lt;=$F20+$G20-1),1,""))</f>
        <v/>
      </c>
      <c r="BG20" s="71" t="str">
        <f aca="false">IF(AND($C20="Goal",BG$7&gt;=$F20,BG$7&lt;=$F20+$G20-1),2,IF(AND($C20="Milestone",BG$7&gt;=$F20,BG$7&lt;=$F20+$G20-1),1,""))</f>
        <v/>
      </c>
      <c r="BH20" s="71" t="str">
        <f aca="false">IF(AND($C20="Goal",BH$7&gt;=$F20,BH$7&lt;=$F20+$G20-1),2,IF(AND($C20="Milestone",BH$7&gt;=$F20,BH$7&lt;=$F20+$G20-1),1,""))</f>
        <v/>
      </c>
      <c r="BI20" s="71" t="str">
        <f aca="false">IF(AND($C20="Goal",BI$7&gt;=$F20,BI$7&lt;=$F20+$G20-1),2,IF(AND($C20="Milestone",BI$7&gt;=$F20,BI$7&lt;=$F20+$G20-1),1,""))</f>
        <v/>
      </c>
      <c r="BJ20" s="71" t="str">
        <f aca="false">IF(AND($C20="Goal",BJ$7&gt;=$F20,BJ$7&lt;=$F20+$G20-1),2,IF(AND($C20="Milestone",BJ$7&gt;=$F20,BJ$7&lt;=$F20+$G20-1),1,""))</f>
        <v/>
      </c>
      <c r="BK20" s="71" t="str">
        <f aca="false">IF(AND($C20="Goal",BK$7&gt;=$F20,BK$7&lt;=$F20+$G20-1),2,IF(AND($C20="Milestone",BK$7&gt;=$F20,BK$7&lt;=$F20+$G20-1),1,""))</f>
        <v/>
      </c>
      <c r="BL20" s="71" t="str">
        <f aca="false">IF(AND($C20="Goal",BL$7&gt;=$F20,BL$7&lt;=$F20+$G20-1),2,IF(AND($C20="Milestone",BL$7&gt;=$F20,BL$7&lt;=$F20+$G20-1),1,""))</f>
        <v/>
      </c>
    </row>
    <row r="21" s="25" customFormat="true" ht="39.75" hidden="false" customHeight="true" outlineLevel="0" collapsed="false">
      <c r="A21" s="13"/>
      <c r="B21" s="101" t="s">
        <v>87</v>
      </c>
      <c r="C21" s="67" t="s">
        <v>85</v>
      </c>
      <c r="D21" s="67"/>
      <c r="E21" s="68"/>
      <c r="F21" s="69" t="n">
        <f aca="false">F20+2</f>
        <v>45980</v>
      </c>
      <c r="G21" s="70" t="n">
        <v>1</v>
      </c>
      <c r="H21" s="67"/>
      <c r="I21" s="71" t="str">
        <f aca="false">IF(AND($C21="Goal",I$7&gt;=$F21,I$7&lt;=$F21+$G21-1),2,IF(AND($C21="Milestone",I$7&gt;=$F21,I$7&lt;=$F21+$G21-1),1,""))</f>
        <v/>
      </c>
      <c r="J21" s="71" t="str">
        <f aca="false">IF(AND($C21="Goal",J$7&gt;=$F21,J$7&lt;=$F21+$G21-1),2,IF(AND($C21="Milestone",J$7&gt;=$F21,J$7&lt;=$F21+$G21-1),1,""))</f>
        <v/>
      </c>
      <c r="K21" s="71" t="str">
        <f aca="false">IF(AND($C21="Goal",K$7&gt;=$F21,K$7&lt;=$F21+$G21-1),2,IF(AND($C21="Milestone",K$7&gt;=$F21,K$7&lt;=$F21+$G21-1),1,""))</f>
        <v/>
      </c>
      <c r="L21" s="71" t="str">
        <f aca="false">IF(AND($C21="Goal",L$7&gt;=$F21,L$7&lt;=$F21+$G21-1),2,IF(AND($C21="Milestone",L$7&gt;=$F21,L$7&lt;=$F21+$G21-1),1,""))</f>
        <v/>
      </c>
      <c r="M21" s="71" t="str">
        <f aca="false">IF(AND($C21="Goal",M$7&gt;=$F21,M$7&lt;=$F21+$G21-1),2,IF(AND($C21="Milestone",M$7&gt;=$F21,M$7&lt;=$F21+$G21-1),1,""))</f>
        <v/>
      </c>
      <c r="N21" s="71" t="str">
        <f aca="false">IF(AND($C21="Goal",N$7&gt;=$F21,N$7&lt;=$F21+$G21-1),2,IF(AND($C21="Milestone",N$7&gt;=$F21,N$7&lt;=$F21+$G21-1),1,""))</f>
        <v/>
      </c>
      <c r="O21" s="71" t="str">
        <f aca="false">IF(AND($C21="Goal",O$7&gt;=$F21,O$7&lt;=$F21+$G21-1),2,IF(AND($C21="Milestone",O$7&gt;=$F21,O$7&lt;=$F21+$G21-1),1,""))</f>
        <v/>
      </c>
      <c r="P21" s="71" t="str">
        <f aca="false">IF(AND($C21="Goal",P$7&gt;=$F21,P$7&lt;=$F21+$G21-1),2,IF(AND($C21="Milestone",P$7&gt;=$F21,P$7&lt;=$F21+$G21-1),1,""))</f>
        <v/>
      </c>
      <c r="Q21" s="71" t="str">
        <f aca="false">IF(AND($C21="Goal",Q$7&gt;=$F21,Q$7&lt;=$F21+$G21-1),2,IF(AND($C21="Milestone",Q$7&gt;=$F21,Q$7&lt;=$F21+$G21-1),1,""))</f>
        <v/>
      </c>
      <c r="R21" s="71" t="str">
        <f aca="false">IF(AND($C21="Goal",R$7&gt;=$F21,R$7&lt;=$F21+$G21-1),2,IF(AND($C21="Milestone",R$7&gt;=$F21,R$7&lt;=$F21+$G21-1),1,""))</f>
        <v/>
      </c>
      <c r="S21" s="71" t="str">
        <f aca="false">IF(AND($C21="Goal",S$7&gt;=$F21,S$7&lt;=$F21+$G21-1),2,IF(AND($C21="Milestone",S$7&gt;=$F21,S$7&lt;=$F21+$G21-1),1,""))</f>
        <v/>
      </c>
      <c r="T21" s="71" t="str">
        <f aca="false">IF(AND($C21="Goal",T$7&gt;=$F21,T$7&lt;=$F21+$G21-1),2,IF(AND($C21="Milestone",T$7&gt;=$F21,T$7&lt;=$F21+$G21-1),1,""))</f>
        <v/>
      </c>
      <c r="U21" s="71" t="str">
        <f aca="false">IF(AND($C21="Goal",U$7&gt;=$F21,U$7&lt;=$F21+$G21-1),2,IF(AND($C21="Milestone",U$7&gt;=$F21,U$7&lt;=$F21+$G21-1),1,""))</f>
        <v/>
      </c>
      <c r="V21" s="71" t="str">
        <f aca="false">IF(AND($C21="Goal",V$7&gt;=$F21,V$7&lt;=$F21+$G21-1),2,IF(AND($C21="Milestone",V$7&gt;=$F21,V$7&lt;=$F21+$G21-1),1,""))</f>
        <v/>
      </c>
      <c r="W21" s="71" t="str">
        <f aca="false">IF(AND($C21="Goal",W$7&gt;=$F21,W$7&lt;=$F21+$G21-1),2,IF(AND($C21="Milestone",W$7&gt;=$F21,W$7&lt;=$F21+$G21-1),1,""))</f>
        <v/>
      </c>
      <c r="X21" s="71" t="n">
        <f aca="false">IF(AND($C21="Goal",X$7&gt;=$F21,X$7&lt;=$F21+$G21-1),2,IF(AND($C21="Milestone",X$7&gt;=$F21,X$7&lt;=$F21+$G21-1),1,""))</f>
        <v>1</v>
      </c>
      <c r="Y21" s="71" t="str">
        <f aca="false">IF(AND($C21="Goal",Y$7&gt;=$F21,Y$7&lt;=$F21+$G21-1),2,IF(AND($C21="Milestone",Y$7&gt;=$F21,Y$7&lt;=$F21+$G21-1),1,""))</f>
        <v/>
      </c>
      <c r="Z21" s="71" t="str">
        <f aca="false">IF(AND($C21="Goal",Z$7&gt;=$F21,Z$7&lt;=$F21+$G21-1),2,IF(AND($C21="Milestone",Z$7&gt;=$F21,Z$7&lt;=$F21+$G21-1),1,""))</f>
        <v/>
      </c>
      <c r="AA21" s="71" t="str">
        <f aca="false">IF(AND($C21="Goal",AA$7&gt;=$F21,AA$7&lt;=$F21+$G21-1),2,IF(AND($C21="Milestone",AA$7&gt;=$F21,AA$7&lt;=$F21+$G21-1),1,""))</f>
        <v/>
      </c>
      <c r="AB21" s="71" t="str">
        <f aca="false">IF(AND($C21="Goal",AB$7&gt;=$F21,AB$7&lt;=$F21+$G21-1),2,IF(AND($C21="Milestone",AB$7&gt;=$F21,AB$7&lt;=$F21+$G21-1),1,""))</f>
        <v/>
      </c>
      <c r="AC21" s="71" t="str">
        <f aca="false">IF(AND($C21="Goal",AC$7&gt;=$F21,AC$7&lt;=$F21+$G21-1),2,IF(AND($C21="Milestone",AC$7&gt;=$F21,AC$7&lt;=$F21+$G21-1),1,""))</f>
        <v/>
      </c>
      <c r="AD21" s="71" t="str">
        <f aca="false">IF(AND($C21="Goal",AD$7&gt;=$F21,AD$7&lt;=$F21+$G21-1),2,IF(AND($C21="Milestone",AD$7&gt;=$F21,AD$7&lt;=$F21+$G21-1),1,""))</f>
        <v/>
      </c>
      <c r="AE21" s="71" t="str">
        <f aca="false">IF(AND($C21="Goal",AE$7&gt;=$F21,AE$7&lt;=$F21+$G21-1),2,IF(AND($C21="Milestone",AE$7&gt;=$F21,AE$7&lt;=$F21+$G21-1),1,""))</f>
        <v/>
      </c>
      <c r="AF21" s="71" t="str">
        <f aca="false">IF(AND($C21="Goal",AF$7&gt;=$F21,AF$7&lt;=$F21+$G21-1),2,IF(AND($C21="Milestone",AF$7&gt;=$F21,AF$7&lt;=$F21+$G21-1),1,""))</f>
        <v/>
      </c>
      <c r="AG21" s="71" t="str">
        <f aca="false">IF(AND($C21="Goal",AG$7&gt;=$F21,AG$7&lt;=$F21+$G21-1),2,IF(AND($C21="Milestone",AG$7&gt;=$F21,AG$7&lt;=$F21+$G21-1),1,""))</f>
        <v/>
      </c>
      <c r="AH21" s="71" t="str">
        <f aca="false">IF(AND($C21="Goal",AH$7&gt;=$F21,AH$7&lt;=$F21+$G21-1),2,IF(AND($C21="Milestone",AH$7&gt;=$F21,AH$7&lt;=$F21+$G21-1),1,""))</f>
        <v/>
      </c>
      <c r="AI21" s="71" t="str">
        <f aca="false">IF(AND($C21="Goal",AI$7&gt;=$F21,AI$7&lt;=$F21+$G21-1),2,IF(AND($C21="Milestone",AI$7&gt;=$F21,AI$7&lt;=$F21+$G21-1),1,""))</f>
        <v/>
      </c>
      <c r="AJ21" s="71" t="str">
        <f aca="false">IF(AND($C21="Goal",AJ$7&gt;=$F21,AJ$7&lt;=$F21+$G21-1),2,IF(AND($C21="Milestone",AJ$7&gt;=$F21,AJ$7&lt;=$F21+$G21-1),1,""))</f>
        <v/>
      </c>
      <c r="AK21" s="71" t="str">
        <f aca="false">IF(AND($C21="Goal",AK$7&gt;=$F21,AK$7&lt;=$F21+$G21-1),2,IF(AND($C21="Milestone",AK$7&gt;=$F21,AK$7&lt;=$F21+$G21-1),1,""))</f>
        <v/>
      </c>
      <c r="AL21" s="71" t="str">
        <f aca="false">IF(AND($C21="Goal",AL$7&gt;=$F21,AL$7&lt;=$F21+$G21-1),2,IF(AND($C21="Milestone",AL$7&gt;=$F21,AL$7&lt;=$F21+$G21-1),1,""))</f>
        <v/>
      </c>
      <c r="AM21" s="71" t="str">
        <f aca="false">IF(AND($C21="Goal",AM$7&gt;=$F21,AM$7&lt;=$F21+$G21-1),2,IF(AND($C21="Milestone",AM$7&gt;=$F21,AM$7&lt;=$F21+$G21-1),1,""))</f>
        <v/>
      </c>
      <c r="AN21" s="71" t="str">
        <f aca="false">IF(AND($C21="Goal",AN$7&gt;=$F21,AN$7&lt;=$F21+$G21-1),2,IF(AND($C21="Milestone",AN$7&gt;=$F21,AN$7&lt;=$F21+$G21-1),1,""))</f>
        <v/>
      </c>
      <c r="AO21" s="71" t="str">
        <f aca="false">IF(AND($C21="Goal",AO$7&gt;=$F21,AO$7&lt;=$F21+$G21-1),2,IF(AND($C21="Milestone",AO$7&gt;=$F21,AO$7&lt;=$F21+$G21-1),1,""))</f>
        <v/>
      </c>
      <c r="AP21" s="71" t="str">
        <f aca="false">IF(AND($C21="Goal",AP$7&gt;=$F21,AP$7&lt;=$F21+$G21-1),2,IF(AND($C21="Milestone",AP$7&gt;=$F21,AP$7&lt;=$F21+$G21-1),1,""))</f>
        <v/>
      </c>
      <c r="AQ21" s="71" t="str">
        <f aca="false">IF(AND($C21="Goal",AQ$7&gt;=$F21,AQ$7&lt;=$F21+$G21-1),2,IF(AND($C21="Milestone",AQ$7&gt;=$F21,AQ$7&lt;=$F21+$G21-1),1,""))</f>
        <v/>
      </c>
      <c r="AR21" s="71" t="str">
        <f aca="false">IF(AND($C21="Goal",AR$7&gt;=$F21,AR$7&lt;=$F21+$G21-1),2,IF(AND($C21="Milestone",AR$7&gt;=$F21,AR$7&lt;=$F21+$G21-1),1,""))</f>
        <v/>
      </c>
      <c r="AS21" s="71" t="str">
        <f aca="false">IF(AND($C21="Goal",AS$7&gt;=$F21,AS$7&lt;=$F21+$G21-1),2,IF(AND($C21="Milestone",AS$7&gt;=$F21,AS$7&lt;=$F21+$G21-1),1,""))</f>
        <v/>
      </c>
      <c r="AT21" s="71" t="str">
        <f aca="false">IF(AND($C21="Goal",AT$7&gt;=$F21,AT$7&lt;=$F21+$G21-1),2,IF(AND($C21="Milestone",AT$7&gt;=$F21,AT$7&lt;=$F21+$G21-1),1,""))</f>
        <v/>
      </c>
      <c r="AU21" s="71" t="str">
        <f aca="false">IF(AND($C21="Goal",AU$7&gt;=$F21,AU$7&lt;=$F21+$G21-1),2,IF(AND($C21="Milestone",AU$7&gt;=$F21,AU$7&lt;=$F21+$G21-1),1,""))</f>
        <v/>
      </c>
      <c r="AV21" s="71" t="str">
        <f aca="false">IF(AND($C21="Goal",AV$7&gt;=$F21,AV$7&lt;=$F21+$G21-1),2,IF(AND($C21="Milestone",AV$7&gt;=$F21,AV$7&lt;=$F21+$G21-1),1,""))</f>
        <v/>
      </c>
      <c r="AW21" s="71" t="str">
        <f aca="false">IF(AND($C21="Goal",AW$7&gt;=$F21,AW$7&lt;=$F21+$G21-1),2,IF(AND($C21="Milestone",AW$7&gt;=$F21,AW$7&lt;=$F21+$G21-1),1,""))</f>
        <v/>
      </c>
      <c r="AX21" s="71" t="str">
        <f aca="false">IF(AND($C21="Goal",AX$7&gt;=$F21,AX$7&lt;=$F21+$G21-1),2,IF(AND($C21="Milestone",AX$7&gt;=$F21,AX$7&lt;=$F21+$G21-1),1,""))</f>
        <v/>
      </c>
      <c r="AY21" s="71" t="str">
        <f aca="false">IF(AND($C21="Goal",AY$7&gt;=$F21,AY$7&lt;=$F21+$G21-1),2,IF(AND($C21="Milestone",AY$7&gt;=$F21,AY$7&lt;=$F21+$G21-1),1,""))</f>
        <v/>
      </c>
      <c r="AZ21" s="71" t="str">
        <f aca="false">IF(AND($C21="Goal",AZ$7&gt;=$F21,AZ$7&lt;=$F21+$G21-1),2,IF(AND($C21="Milestone",AZ$7&gt;=$F21,AZ$7&lt;=$F21+$G21-1),1,""))</f>
        <v/>
      </c>
      <c r="BA21" s="71" t="str">
        <f aca="false">IF(AND($C21="Goal",BA$7&gt;=$F21,BA$7&lt;=$F21+$G21-1),2,IF(AND($C21="Milestone",BA$7&gt;=$F21,BA$7&lt;=$F21+$G21-1),1,""))</f>
        <v/>
      </c>
      <c r="BB21" s="71" t="str">
        <f aca="false">IF(AND($C21="Goal",BB$7&gt;=$F21,BB$7&lt;=$F21+$G21-1),2,IF(AND($C21="Milestone",BB$7&gt;=$F21,BB$7&lt;=$F21+$G21-1),1,""))</f>
        <v/>
      </c>
      <c r="BC21" s="71" t="str">
        <f aca="false">IF(AND($C21="Goal",BC$7&gt;=$F21,BC$7&lt;=$F21+$G21-1),2,IF(AND($C21="Milestone",BC$7&gt;=$F21,BC$7&lt;=$F21+$G21-1),1,""))</f>
        <v/>
      </c>
      <c r="BD21" s="71" t="str">
        <f aca="false">IF(AND($C21="Goal",BD$7&gt;=$F21,BD$7&lt;=$F21+$G21-1),2,IF(AND($C21="Milestone",BD$7&gt;=$F21,BD$7&lt;=$F21+$G21-1),1,""))</f>
        <v/>
      </c>
      <c r="BE21" s="71" t="str">
        <f aca="false">IF(AND($C21="Goal",BE$7&gt;=$F21,BE$7&lt;=$F21+$G21-1),2,IF(AND($C21="Milestone",BE$7&gt;=$F21,BE$7&lt;=$F21+$G21-1),1,""))</f>
        <v/>
      </c>
      <c r="BF21" s="71" t="str">
        <f aca="false">IF(AND($C21="Goal",BF$7&gt;=$F21,BF$7&lt;=$F21+$G21-1),2,IF(AND($C21="Milestone",BF$7&gt;=$F21,BF$7&lt;=$F21+$G21-1),1,""))</f>
        <v/>
      </c>
      <c r="BG21" s="71" t="str">
        <f aca="false">IF(AND($C21="Goal",BG$7&gt;=$F21,BG$7&lt;=$F21+$G21-1),2,IF(AND($C21="Milestone",BG$7&gt;=$F21,BG$7&lt;=$F21+$G21-1),1,""))</f>
        <v/>
      </c>
      <c r="BH21" s="71" t="str">
        <f aca="false">IF(AND($C21="Goal",BH$7&gt;=$F21,BH$7&lt;=$F21+$G21-1),2,IF(AND($C21="Milestone",BH$7&gt;=$F21,BH$7&lt;=$F21+$G21-1),1,""))</f>
        <v/>
      </c>
      <c r="BI21" s="71" t="str">
        <f aca="false">IF(AND($C21="Goal",BI$7&gt;=$F21,BI$7&lt;=$F21+$G21-1),2,IF(AND($C21="Milestone",BI$7&gt;=$F21,BI$7&lt;=$F21+$G21-1),1,""))</f>
        <v/>
      </c>
      <c r="BJ21" s="71" t="str">
        <f aca="false">IF(AND($C21="Goal",BJ$7&gt;=$F21,BJ$7&lt;=$F21+$G21-1),2,IF(AND($C21="Milestone",BJ$7&gt;=$F21,BJ$7&lt;=$F21+$G21-1),1,""))</f>
        <v/>
      </c>
      <c r="BK21" s="71" t="str">
        <f aca="false">IF(AND($C21="Goal",BK$7&gt;=$F21,BK$7&lt;=$F21+$G21-1),2,IF(AND($C21="Milestone",BK$7&gt;=$F21,BK$7&lt;=$F21+$G21-1),1,""))</f>
        <v/>
      </c>
      <c r="BL21" s="71" t="str">
        <f aca="false">IF(AND($C21="Goal",BL$7&gt;=$F21,BL$7&lt;=$F21+$G21-1),2,IF(AND($C21="Milestone",BL$7&gt;=$F21,BL$7&lt;=$F21+$G21-1),1,""))</f>
        <v/>
      </c>
    </row>
    <row r="22" s="25" customFormat="true" ht="39.75" hidden="false" customHeight="true" outlineLevel="0" collapsed="false">
      <c r="A22" s="13"/>
      <c r="B22" s="101" t="s">
        <v>88</v>
      </c>
      <c r="C22" s="67"/>
      <c r="D22" s="67"/>
      <c r="E22" s="68"/>
      <c r="F22" s="69" t="n">
        <f aca="false">F21+1</f>
        <v>45981</v>
      </c>
      <c r="G22" s="70" t="n">
        <v>24</v>
      </c>
      <c r="H22" s="67"/>
      <c r="I22" s="71" t="str">
        <f aca="false">IF(AND($C22="Goal",I$7&gt;=$F22,I$7&lt;=$F22+$G22-1),2,IF(AND($C22="Milestone",I$7&gt;=$F22,I$7&lt;=$F22+$G22-1),1,""))</f>
        <v/>
      </c>
      <c r="J22" s="71" t="str">
        <f aca="false">IF(AND($C22="Goal",J$7&gt;=$F22,J$7&lt;=$F22+$G22-1),2,IF(AND($C22="Milestone",J$7&gt;=$F22,J$7&lt;=$F22+$G22-1),1,""))</f>
        <v/>
      </c>
      <c r="K22" s="71" t="str">
        <f aca="false">IF(AND($C22="Goal",K$7&gt;=$F22,K$7&lt;=$F22+$G22-1),2,IF(AND($C22="Milestone",K$7&gt;=$F22,K$7&lt;=$F22+$G22-1),1,""))</f>
        <v/>
      </c>
      <c r="L22" s="71" t="str">
        <f aca="false">IF(AND($C22="Goal",L$7&gt;=$F22,L$7&lt;=$F22+$G22-1),2,IF(AND($C22="Milestone",L$7&gt;=$F22,L$7&lt;=$F22+$G22-1),1,""))</f>
        <v/>
      </c>
      <c r="M22" s="71" t="str">
        <f aca="false">IF(AND($C22="Goal",M$7&gt;=$F22,M$7&lt;=$F22+$G22-1),2,IF(AND($C22="Milestone",M$7&gt;=$F22,M$7&lt;=$F22+$G22-1),1,""))</f>
        <v/>
      </c>
      <c r="N22" s="71" t="str">
        <f aca="false">IF(AND($C22="Goal",N$7&gt;=$F22,N$7&lt;=$F22+$G22-1),2,IF(AND($C22="Milestone",N$7&gt;=$F22,N$7&lt;=$F22+$G22-1),1,""))</f>
        <v/>
      </c>
      <c r="O22" s="71" t="str">
        <f aca="false">IF(AND($C22="Goal",O$7&gt;=$F22,O$7&lt;=$F22+$G22-1),2,IF(AND($C22="Milestone",O$7&gt;=$F22,O$7&lt;=$F22+$G22-1),1,""))</f>
        <v/>
      </c>
      <c r="P22" s="71" t="str">
        <f aca="false">IF(AND($C22="Goal",P$7&gt;=$F22,P$7&lt;=$F22+$G22-1),2,IF(AND($C22="Milestone",P$7&gt;=$F22,P$7&lt;=$F22+$G22-1),1,""))</f>
        <v/>
      </c>
      <c r="Q22" s="71" t="str">
        <f aca="false">IF(AND($C22="Goal",Q$7&gt;=$F22,Q$7&lt;=$F22+$G22-1),2,IF(AND($C22="Milestone",Q$7&gt;=$F22,Q$7&lt;=$F22+$G22-1),1,""))</f>
        <v/>
      </c>
      <c r="R22" s="71" t="str">
        <f aca="false">IF(AND($C22="Goal",R$7&gt;=$F22,R$7&lt;=$F22+$G22-1),2,IF(AND($C22="Milestone",R$7&gt;=$F22,R$7&lt;=$F22+$G22-1),1,""))</f>
        <v/>
      </c>
      <c r="S22" s="71" t="str">
        <f aca="false">IF(AND($C22="Goal",S$7&gt;=$F22,S$7&lt;=$F22+$G22-1),2,IF(AND($C22="Milestone",S$7&gt;=$F22,S$7&lt;=$F22+$G22-1),1,""))</f>
        <v/>
      </c>
      <c r="T22" s="71" t="str">
        <f aca="false">IF(AND($C22="Goal",T$7&gt;=$F22,T$7&lt;=$F22+$G22-1),2,IF(AND($C22="Milestone",T$7&gt;=$F22,T$7&lt;=$F22+$G22-1),1,""))</f>
        <v/>
      </c>
      <c r="U22" s="71" t="str">
        <f aca="false">IF(AND($C22="Goal",U$7&gt;=$F22,U$7&lt;=$F22+$G22-1),2,IF(AND($C22="Milestone",U$7&gt;=$F22,U$7&lt;=$F22+$G22-1),1,""))</f>
        <v/>
      </c>
      <c r="V22" s="71" t="str">
        <f aca="false">IF(AND($C22="Goal",V$7&gt;=$F22,V$7&lt;=$F22+$G22-1),2,IF(AND($C22="Milestone",V$7&gt;=$F22,V$7&lt;=$F22+$G22-1),1,""))</f>
        <v/>
      </c>
      <c r="W22" s="71" t="str">
        <f aca="false">IF(AND($C22="Goal",W$7&gt;=$F22,W$7&lt;=$F22+$G22-1),2,IF(AND($C22="Milestone",W$7&gt;=$F22,W$7&lt;=$F22+$G22-1),1,""))</f>
        <v/>
      </c>
      <c r="X22" s="71" t="str">
        <f aca="false">IF(AND($C22="Goal",X$7&gt;=$F22,X$7&lt;=$F22+$G22-1),2,IF(AND($C22="Milestone",X$7&gt;=$F22,X$7&lt;=$F22+$G22-1),1,""))</f>
        <v/>
      </c>
      <c r="Y22" s="71" t="str">
        <f aca="false">IF(AND($C22="Goal",Y$7&gt;=$F22,Y$7&lt;=$F22+$G22-1),2,IF(AND($C22="Milestone",Y$7&gt;=$F22,Y$7&lt;=$F22+$G22-1),1,""))</f>
        <v/>
      </c>
      <c r="Z22" s="71" t="str">
        <f aca="false">IF(AND($C22="Goal",Z$7&gt;=$F22,Z$7&lt;=$F22+$G22-1),2,IF(AND($C22="Milestone",Z$7&gt;=$F22,Z$7&lt;=$F22+$G22-1),1,""))</f>
        <v/>
      </c>
      <c r="AA22" s="71" t="str">
        <f aca="false">IF(AND($C22="Goal",AA$7&gt;=$F22,AA$7&lt;=$F22+$G22-1),2,IF(AND($C22="Milestone",AA$7&gt;=$F22,AA$7&lt;=$F22+$G22-1),1,""))</f>
        <v/>
      </c>
      <c r="AB22" s="71" t="str">
        <f aca="false">IF(AND($C22="Goal",AB$7&gt;=$F22,AB$7&lt;=$F22+$G22-1),2,IF(AND($C22="Milestone",AB$7&gt;=$F22,AB$7&lt;=$F22+$G22-1),1,""))</f>
        <v/>
      </c>
      <c r="AC22" s="71" t="str">
        <f aca="false">IF(AND($C22="Goal",AC$7&gt;=$F22,AC$7&lt;=$F22+$G22-1),2,IF(AND($C22="Milestone",AC$7&gt;=$F22,AC$7&lt;=$F22+$G22-1),1,""))</f>
        <v/>
      </c>
      <c r="AD22" s="71" t="str">
        <f aca="false">IF(AND($C22="Goal",AD$7&gt;=$F22,AD$7&lt;=$F22+$G22-1),2,IF(AND($C22="Milestone",AD$7&gt;=$F22,AD$7&lt;=$F22+$G22-1),1,""))</f>
        <v/>
      </c>
      <c r="AE22" s="71" t="str">
        <f aca="false">IF(AND($C22="Goal",AE$7&gt;=$F22,AE$7&lt;=$F22+$G22-1),2,IF(AND($C22="Milestone",AE$7&gt;=$F22,AE$7&lt;=$F22+$G22-1),1,""))</f>
        <v/>
      </c>
      <c r="AF22" s="71" t="str">
        <f aca="false">IF(AND($C22="Goal",AF$7&gt;=$F22,AF$7&lt;=$F22+$G22-1),2,IF(AND($C22="Milestone",AF$7&gt;=$F22,AF$7&lt;=$F22+$G22-1),1,""))</f>
        <v/>
      </c>
      <c r="AG22" s="71" t="str">
        <f aca="false">IF(AND($C22="Goal",AG$7&gt;=$F22,AG$7&lt;=$F22+$G22-1),2,IF(AND($C22="Milestone",AG$7&gt;=$F22,AG$7&lt;=$F22+$G22-1),1,""))</f>
        <v/>
      </c>
      <c r="AH22" s="71" t="str">
        <f aca="false">IF(AND($C22="Goal",AH$7&gt;=$F22,AH$7&lt;=$F22+$G22-1),2,IF(AND($C22="Milestone",AH$7&gt;=$F22,AH$7&lt;=$F22+$G22-1),1,""))</f>
        <v/>
      </c>
      <c r="AI22" s="71" t="str">
        <f aca="false">IF(AND($C22="Goal",AI$7&gt;=$F22,AI$7&lt;=$F22+$G22-1),2,IF(AND($C22="Milestone",AI$7&gt;=$F22,AI$7&lt;=$F22+$G22-1),1,""))</f>
        <v/>
      </c>
      <c r="AJ22" s="71" t="str">
        <f aca="false">IF(AND($C22="Goal",AJ$7&gt;=$F22,AJ$7&lt;=$F22+$G22-1),2,IF(AND($C22="Milestone",AJ$7&gt;=$F22,AJ$7&lt;=$F22+$G22-1),1,""))</f>
        <v/>
      </c>
      <c r="AK22" s="71" t="str">
        <f aca="false">IF(AND($C22="Goal",AK$7&gt;=$F22,AK$7&lt;=$F22+$G22-1),2,IF(AND($C22="Milestone",AK$7&gt;=$F22,AK$7&lt;=$F22+$G22-1),1,""))</f>
        <v/>
      </c>
      <c r="AL22" s="71" t="str">
        <f aca="false">IF(AND($C22="Goal",AL$7&gt;=$F22,AL$7&lt;=$F22+$G22-1),2,IF(AND($C22="Milestone",AL$7&gt;=$F22,AL$7&lt;=$F22+$G22-1),1,""))</f>
        <v/>
      </c>
      <c r="AM22" s="71" t="str">
        <f aca="false">IF(AND($C22="Goal",AM$7&gt;=$F22,AM$7&lt;=$F22+$G22-1),2,IF(AND($C22="Milestone",AM$7&gt;=$F22,AM$7&lt;=$F22+$G22-1),1,""))</f>
        <v/>
      </c>
      <c r="AN22" s="71" t="str">
        <f aca="false">IF(AND($C22="Goal",AN$7&gt;=$F22,AN$7&lt;=$F22+$G22-1),2,IF(AND($C22="Milestone",AN$7&gt;=$F22,AN$7&lt;=$F22+$G22-1),1,""))</f>
        <v/>
      </c>
      <c r="AO22" s="71" t="str">
        <f aca="false">IF(AND($C22="Goal",AO$7&gt;=$F22,AO$7&lt;=$F22+$G22-1),2,IF(AND($C22="Milestone",AO$7&gt;=$F22,AO$7&lt;=$F22+$G22-1),1,""))</f>
        <v/>
      </c>
      <c r="AP22" s="71" t="str">
        <f aca="false">IF(AND($C22="Goal",AP$7&gt;=$F22,AP$7&lt;=$F22+$G22-1),2,IF(AND($C22="Milestone",AP$7&gt;=$F22,AP$7&lt;=$F22+$G22-1),1,""))</f>
        <v/>
      </c>
      <c r="AQ22" s="71" t="str">
        <f aca="false">IF(AND($C22="Goal",AQ$7&gt;=$F22,AQ$7&lt;=$F22+$G22-1),2,IF(AND($C22="Milestone",AQ$7&gt;=$F22,AQ$7&lt;=$F22+$G22-1),1,""))</f>
        <v/>
      </c>
      <c r="AR22" s="71" t="str">
        <f aca="false">IF(AND($C22="Goal",AR$7&gt;=$F22,AR$7&lt;=$F22+$G22-1),2,IF(AND($C22="Milestone",AR$7&gt;=$F22,AR$7&lt;=$F22+$G22-1),1,""))</f>
        <v/>
      </c>
      <c r="AS22" s="71" t="str">
        <f aca="false">IF(AND($C22="Goal",AS$7&gt;=$F22,AS$7&lt;=$F22+$G22-1),2,IF(AND($C22="Milestone",AS$7&gt;=$F22,AS$7&lt;=$F22+$G22-1),1,""))</f>
        <v/>
      </c>
      <c r="AT22" s="71" t="str">
        <f aca="false">IF(AND($C22="Goal",AT$7&gt;=$F22,AT$7&lt;=$F22+$G22-1),2,IF(AND($C22="Milestone",AT$7&gt;=$F22,AT$7&lt;=$F22+$G22-1),1,""))</f>
        <v/>
      </c>
      <c r="AU22" s="71" t="str">
        <f aca="false">IF(AND($C22="Goal",AU$7&gt;=$F22,AU$7&lt;=$F22+$G22-1),2,IF(AND($C22="Milestone",AU$7&gt;=$F22,AU$7&lt;=$F22+$G22-1),1,""))</f>
        <v/>
      </c>
      <c r="AV22" s="71" t="str">
        <f aca="false">IF(AND($C22="Goal",AV$7&gt;=$F22,AV$7&lt;=$F22+$G22-1),2,IF(AND($C22="Milestone",AV$7&gt;=$F22,AV$7&lt;=$F22+$G22-1),1,""))</f>
        <v/>
      </c>
      <c r="AW22" s="71" t="str">
        <f aca="false">IF(AND($C22="Goal",AW$7&gt;=$F22,AW$7&lt;=$F22+$G22-1),2,IF(AND($C22="Milestone",AW$7&gt;=$F22,AW$7&lt;=$F22+$G22-1),1,""))</f>
        <v/>
      </c>
      <c r="AX22" s="71" t="str">
        <f aca="false">IF(AND($C22="Goal",AX$7&gt;=$F22,AX$7&lt;=$F22+$G22-1),2,IF(AND($C22="Milestone",AX$7&gt;=$F22,AX$7&lt;=$F22+$G22-1),1,""))</f>
        <v/>
      </c>
      <c r="AY22" s="71" t="str">
        <f aca="false">IF(AND($C22="Goal",AY$7&gt;=$F22,AY$7&lt;=$F22+$G22-1),2,IF(AND($C22="Milestone",AY$7&gt;=$F22,AY$7&lt;=$F22+$G22-1),1,""))</f>
        <v/>
      </c>
      <c r="AZ22" s="71" t="str">
        <f aca="false">IF(AND($C22="Goal",AZ$7&gt;=$F22,AZ$7&lt;=$F22+$G22-1),2,IF(AND($C22="Milestone",AZ$7&gt;=$F22,AZ$7&lt;=$F22+$G22-1),1,""))</f>
        <v/>
      </c>
      <c r="BA22" s="71" t="str">
        <f aca="false">IF(AND($C22="Goal",BA$7&gt;=$F22,BA$7&lt;=$F22+$G22-1),2,IF(AND($C22="Milestone",BA$7&gt;=$F22,BA$7&lt;=$F22+$G22-1),1,""))</f>
        <v/>
      </c>
      <c r="BB22" s="71" t="str">
        <f aca="false">IF(AND($C22="Goal",BB$7&gt;=$F22,BB$7&lt;=$F22+$G22-1),2,IF(AND($C22="Milestone",BB$7&gt;=$F22,BB$7&lt;=$F22+$G22-1),1,""))</f>
        <v/>
      </c>
      <c r="BC22" s="71" t="str">
        <f aca="false">IF(AND($C22="Goal",BC$7&gt;=$F22,BC$7&lt;=$F22+$G22-1),2,IF(AND($C22="Milestone",BC$7&gt;=$F22,BC$7&lt;=$F22+$G22-1),1,""))</f>
        <v/>
      </c>
      <c r="BD22" s="71" t="str">
        <f aca="false">IF(AND($C22="Goal",BD$7&gt;=$F22,BD$7&lt;=$F22+$G22-1),2,IF(AND($C22="Milestone",BD$7&gt;=$F22,BD$7&lt;=$F22+$G22-1),1,""))</f>
        <v/>
      </c>
      <c r="BE22" s="71" t="str">
        <f aca="false">IF(AND($C22="Goal",BE$7&gt;=$F22,BE$7&lt;=$F22+$G22-1),2,IF(AND($C22="Milestone",BE$7&gt;=$F22,BE$7&lt;=$F22+$G22-1),1,""))</f>
        <v/>
      </c>
      <c r="BF22" s="71" t="str">
        <f aca="false">IF(AND($C22="Goal",BF$7&gt;=$F22,BF$7&lt;=$F22+$G22-1),2,IF(AND($C22="Milestone",BF$7&gt;=$F22,BF$7&lt;=$F22+$G22-1),1,""))</f>
        <v/>
      </c>
      <c r="BG22" s="71" t="str">
        <f aca="false">IF(AND($C22="Goal",BG$7&gt;=$F22,BG$7&lt;=$F22+$G22-1),2,IF(AND($C22="Milestone",BG$7&gt;=$F22,BG$7&lt;=$F22+$G22-1),1,""))</f>
        <v/>
      </c>
      <c r="BH22" s="71" t="str">
        <f aca="false">IF(AND($C22="Goal",BH$7&gt;=$F22,BH$7&lt;=$F22+$G22-1),2,IF(AND($C22="Milestone",BH$7&gt;=$F22,BH$7&lt;=$F22+$G22-1),1,""))</f>
        <v/>
      </c>
      <c r="BI22" s="71" t="str">
        <f aca="false">IF(AND($C22="Goal",BI$7&gt;=$F22,BI$7&lt;=$F22+$G22-1),2,IF(AND($C22="Milestone",BI$7&gt;=$F22,BI$7&lt;=$F22+$G22-1),1,""))</f>
        <v/>
      </c>
      <c r="BJ22" s="71" t="str">
        <f aca="false">IF(AND($C22="Goal",BJ$7&gt;=$F22,BJ$7&lt;=$F22+$G22-1),2,IF(AND($C22="Milestone",BJ$7&gt;=$F22,BJ$7&lt;=$F22+$G22-1),1,""))</f>
        <v/>
      </c>
      <c r="BK22" s="71" t="str">
        <f aca="false">IF(AND($C22="Goal",BK$7&gt;=$F22,BK$7&lt;=$F22+$G22-1),2,IF(AND($C22="Milestone",BK$7&gt;=$F22,BK$7&lt;=$F22+$G22-1),1,""))</f>
        <v/>
      </c>
      <c r="BL22" s="71" t="str">
        <f aca="false">IF(AND($C22="Goal",BL$7&gt;=$F22,BL$7&lt;=$F22+$G22-1),2,IF(AND($C22="Milestone",BL$7&gt;=$F22,BL$7&lt;=$F22+$G22-1),1,""))</f>
        <v/>
      </c>
    </row>
    <row r="23" s="25" customFormat="true" ht="39.75" hidden="false" customHeight="true" outlineLevel="0" collapsed="false">
      <c r="A23" s="13"/>
      <c r="B23" s="166" t="s">
        <v>91</v>
      </c>
      <c r="C23" s="67"/>
      <c r="D23" s="67"/>
      <c r="E23" s="68"/>
      <c r="F23" s="69"/>
      <c r="G23" s="70"/>
      <c r="H23" s="67"/>
      <c r="I23" s="71" t="str">
        <f aca="false">IF(AND($C23="Goal",I$7&gt;=$F23,I$7&lt;=$F23+$G23-1),2,IF(AND($C23="Milestone",I$7&gt;=$F23,I$7&lt;=$F23+$G23-1),1,""))</f>
        <v/>
      </c>
      <c r="J23" s="71" t="str">
        <f aca="false">IF(AND($C23="Goal",J$7&gt;=$F23,J$7&lt;=$F23+$G23-1),2,IF(AND($C23="Milestone",J$7&gt;=$F23,J$7&lt;=$F23+$G23-1),1,""))</f>
        <v/>
      </c>
      <c r="K23" s="71" t="str">
        <f aca="false">IF(AND($C23="Goal",K$7&gt;=$F23,K$7&lt;=$F23+$G23-1),2,IF(AND($C23="Milestone",K$7&gt;=$F23,K$7&lt;=$F23+$G23-1),1,""))</f>
        <v/>
      </c>
      <c r="L23" s="71" t="str">
        <f aca="false">IF(AND($C23="Goal",L$7&gt;=$F23,L$7&lt;=$F23+$G23-1),2,IF(AND($C23="Milestone",L$7&gt;=$F23,L$7&lt;=$F23+$G23-1),1,""))</f>
        <v/>
      </c>
      <c r="M23" s="71" t="str">
        <f aca="false">IF(AND($C23="Goal",M$7&gt;=$F23,M$7&lt;=$F23+$G23-1),2,IF(AND($C23="Milestone",M$7&gt;=$F23,M$7&lt;=$F23+$G23-1),1,""))</f>
        <v/>
      </c>
      <c r="N23" s="71" t="str">
        <f aca="false">IF(AND($C23="Goal",N$7&gt;=$F23,N$7&lt;=$F23+$G23-1),2,IF(AND($C23="Milestone",N$7&gt;=$F23,N$7&lt;=$F23+$G23-1),1,""))</f>
        <v/>
      </c>
      <c r="O23" s="71" t="str">
        <f aca="false">IF(AND($C23="Goal",O$7&gt;=$F23,O$7&lt;=$F23+$G23-1),2,IF(AND($C23="Milestone",O$7&gt;=$F23,O$7&lt;=$F23+$G23-1),1,""))</f>
        <v/>
      </c>
      <c r="P23" s="71" t="str">
        <f aca="false">IF(AND($C23="Goal",P$7&gt;=$F23,P$7&lt;=$F23+$G23-1),2,IF(AND($C23="Milestone",P$7&gt;=$F23,P$7&lt;=$F23+$G23-1),1,""))</f>
        <v/>
      </c>
      <c r="Q23" s="71" t="str">
        <f aca="false">IF(AND($C23="Goal",Q$7&gt;=$F23,Q$7&lt;=$F23+$G23-1),2,IF(AND($C23="Milestone",Q$7&gt;=$F23,Q$7&lt;=$F23+$G23-1),1,""))</f>
        <v/>
      </c>
      <c r="R23" s="71" t="str">
        <f aca="false">IF(AND($C23="Goal",R$7&gt;=$F23,R$7&lt;=$F23+$G23-1),2,IF(AND($C23="Milestone",R$7&gt;=$F23,R$7&lt;=$F23+$G23-1),1,""))</f>
        <v/>
      </c>
      <c r="S23" s="71" t="str">
        <f aca="false">IF(AND($C23="Goal",S$7&gt;=$F23,S$7&lt;=$F23+$G23-1),2,IF(AND($C23="Milestone",S$7&gt;=$F23,S$7&lt;=$F23+$G23-1),1,""))</f>
        <v/>
      </c>
      <c r="T23" s="71" t="str">
        <f aca="false">IF(AND($C23="Goal",T$7&gt;=$F23,T$7&lt;=$F23+$G23-1),2,IF(AND($C23="Milestone",T$7&gt;=$F23,T$7&lt;=$F23+$G23-1),1,""))</f>
        <v/>
      </c>
      <c r="U23" s="71" t="str">
        <f aca="false">IF(AND($C23="Goal",U$7&gt;=$F23,U$7&lt;=$F23+$G23-1),2,IF(AND($C23="Milestone",U$7&gt;=$F23,U$7&lt;=$F23+$G23-1),1,""))</f>
        <v/>
      </c>
      <c r="V23" s="71" t="str">
        <f aca="false">IF(AND($C23="Goal",V$7&gt;=$F23,V$7&lt;=$F23+$G23-1),2,IF(AND($C23="Milestone",V$7&gt;=$F23,V$7&lt;=$F23+$G23-1),1,""))</f>
        <v/>
      </c>
      <c r="W23" s="71" t="str">
        <f aca="false">IF(AND($C23="Goal",W$7&gt;=$F23,W$7&lt;=$F23+$G23-1),2,IF(AND($C23="Milestone",W$7&gt;=$F23,W$7&lt;=$F23+$G23-1),1,""))</f>
        <v/>
      </c>
      <c r="X23" s="71" t="str">
        <f aca="false">IF(AND($C23="Goal",X$7&gt;=$F23,X$7&lt;=$F23+$G23-1),2,IF(AND($C23="Milestone",X$7&gt;=$F23,X$7&lt;=$F23+$G23-1),1,""))</f>
        <v/>
      </c>
      <c r="Y23" s="71" t="str">
        <f aca="false">IF(AND($C23="Goal",Y$7&gt;=$F23,Y$7&lt;=$F23+$G23-1),2,IF(AND($C23="Milestone",Y$7&gt;=$F23,Y$7&lt;=$F23+$G23-1),1,""))</f>
        <v/>
      </c>
      <c r="Z23" s="71" t="str">
        <f aca="false">IF(AND($C23="Goal",Z$7&gt;=$F23,Z$7&lt;=$F23+$G23-1),2,IF(AND($C23="Milestone",Z$7&gt;=$F23,Z$7&lt;=$F23+$G23-1),1,""))</f>
        <v/>
      </c>
      <c r="AA23" s="71" t="str">
        <f aca="false">IF(AND($C23="Goal",AA$7&gt;=$F23,AA$7&lt;=$F23+$G23-1),2,IF(AND($C23="Milestone",AA$7&gt;=$F23,AA$7&lt;=$F23+$G23-1),1,""))</f>
        <v/>
      </c>
      <c r="AB23" s="71" t="str">
        <f aca="false">IF(AND($C23="Goal",AB$7&gt;=$F23,AB$7&lt;=$F23+$G23-1),2,IF(AND($C23="Milestone",AB$7&gt;=$F23,AB$7&lt;=$F23+$G23-1),1,""))</f>
        <v/>
      </c>
      <c r="AC23" s="71" t="str">
        <f aca="false">IF(AND($C23="Goal",AC$7&gt;=$F23,AC$7&lt;=$F23+$G23-1),2,IF(AND($C23="Milestone",AC$7&gt;=$F23,AC$7&lt;=$F23+$G23-1),1,""))</f>
        <v/>
      </c>
      <c r="AD23" s="71" t="str">
        <f aca="false">IF(AND($C23="Goal",AD$7&gt;=$F23,AD$7&lt;=$F23+$G23-1),2,IF(AND($C23="Milestone",AD$7&gt;=$F23,AD$7&lt;=$F23+$G23-1),1,""))</f>
        <v/>
      </c>
      <c r="AE23" s="71" t="str">
        <f aca="false">IF(AND($C23="Goal",AE$7&gt;=$F23,AE$7&lt;=$F23+$G23-1),2,IF(AND($C23="Milestone",AE$7&gt;=$F23,AE$7&lt;=$F23+$G23-1),1,""))</f>
        <v/>
      </c>
      <c r="AF23" s="71" t="str">
        <f aca="false">IF(AND($C23="Goal",AF$7&gt;=$F23,AF$7&lt;=$F23+$G23-1),2,IF(AND($C23="Milestone",AF$7&gt;=$F23,AF$7&lt;=$F23+$G23-1),1,""))</f>
        <v/>
      </c>
      <c r="AG23" s="71" t="str">
        <f aca="false">IF(AND($C23="Goal",AG$7&gt;=$F23,AG$7&lt;=$F23+$G23-1),2,IF(AND($C23="Milestone",AG$7&gt;=$F23,AG$7&lt;=$F23+$G23-1),1,""))</f>
        <v/>
      </c>
      <c r="AH23" s="71" t="str">
        <f aca="false">IF(AND($C23="Goal",AH$7&gt;=$F23,AH$7&lt;=$F23+$G23-1),2,IF(AND($C23="Milestone",AH$7&gt;=$F23,AH$7&lt;=$F23+$G23-1),1,""))</f>
        <v/>
      </c>
      <c r="AI23" s="71" t="str">
        <f aca="false">IF(AND($C23="Goal",AI$7&gt;=$F23,AI$7&lt;=$F23+$G23-1),2,IF(AND($C23="Milestone",AI$7&gt;=$F23,AI$7&lt;=$F23+$G23-1),1,""))</f>
        <v/>
      </c>
      <c r="AJ23" s="71" t="str">
        <f aca="false">IF(AND($C23="Goal",AJ$7&gt;=$F23,AJ$7&lt;=$F23+$G23-1),2,IF(AND($C23="Milestone",AJ$7&gt;=$F23,AJ$7&lt;=$F23+$G23-1),1,""))</f>
        <v/>
      </c>
      <c r="AK23" s="71" t="str">
        <f aca="false">IF(AND($C23="Goal",AK$7&gt;=$F23,AK$7&lt;=$F23+$G23-1),2,IF(AND($C23="Milestone",AK$7&gt;=$F23,AK$7&lt;=$F23+$G23-1),1,""))</f>
        <v/>
      </c>
      <c r="AL23" s="71" t="str">
        <f aca="false">IF(AND($C23="Goal",AL$7&gt;=$F23,AL$7&lt;=$F23+$G23-1),2,IF(AND($C23="Milestone",AL$7&gt;=$F23,AL$7&lt;=$F23+$G23-1),1,""))</f>
        <v/>
      </c>
      <c r="AM23" s="71" t="str">
        <f aca="false">IF(AND($C23="Goal",AM$7&gt;=$F23,AM$7&lt;=$F23+$G23-1),2,IF(AND($C23="Milestone",AM$7&gt;=$F23,AM$7&lt;=$F23+$G23-1),1,""))</f>
        <v/>
      </c>
      <c r="AN23" s="71" t="str">
        <f aca="false">IF(AND($C23="Goal",AN$7&gt;=$F23,AN$7&lt;=$F23+$G23-1),2,IF(AND($C23="Milestone",AN$7&gt;=$F23,AN$7&lt;=$F23+$G23-1),1,""))</f>
        <v/>
      </c>
      <c r="AO23" s="71" t="str">
        <f aca="false">IF(AND($C23="Goal",AO$7&gt;=$F23,AO$7&lt;=$F23+$G23-1),2,IF(AND($C23="Milestone",AO$7&gt;=$F23,AO$7&lt;=$F23+$G23-1),1,""))</f>
        <v/>
      </c>
      <c r="AP23" s="71" t="str">
        <f aca="false">IF(AND($C23="Goal",AP$7&gt;=$F23,AP$7&lt;=$F23+$G23-1),2,IF(AND($C23="Milestone",AP$7&gt;=$F23,AP$7&lt;=$F23+$G23-1),1,""))</f>
        <v/>
      </c>
      <c r="AQ23" s="71" t="str">
        <f aca="false">IF(AND($C23="Goal",AQ$7&gt;=$F23,AQ$7&lt;=$F23+$G23-1),2,IF(AND($C23="Milestone",AQ$7&gt;=$F23,AQ$7&lt;=$F23+$G23-1),1,""))</f>
        <v/>
      </c>
      <c r="AR23" s="71" t="str">
        <f aca="false">IF(AND($C23="Goal",AR$7&gt;=$F23,AR$7&lt;=$F23+$G23-1),2,IF(AND($C23="Milestone",AR$7&gt;=$F23,AR$7&lt;=$F23+$G23-1),1,""))</f>
        <v/>
      </c>
      <c r="AS23" s="71" t="str">
        <f aca="false">IF(AND($C23="Goal",AS$7&gt;=$F23,AS$7&lt;=$F23+$G23-1),2,IF(AND($C23="Milestone",AS$7&gt;=$F23,AS$7&lt;=$F23+$G23-1),1,""))</f>
        <v/>
      </c>
      <c r="AT23" s="71" t="str">
        <f aca="false">IF(AND($C23="Goal",AT$7&gt;=$F23,AT$7&lt;=$F23+$G23-1),2,IF(AND($C23="Milestone",AT$7&gt;=$F23,AT$7&lt;=$F23+$G23-1),1,""))</f>
        <v/>
      </c>
      <c r="AU23" s="71" t="str">
        <f aca="false">IF(AND($C23="Goal",AU$7&gt;=$F23,AU$7&lt;=$F23+$G23-1),2,IF(AND($C23="Milestone",AU$7&gt;=$F23,AU$7&lt;=$F23+$G23-1),1,""))</f>
        <v/>
      </c>
      <c r="AV23" s="71" t="str">
        <f aca="false">IF(AND($C23="Goal",AV$7&gt;=$F23,AV$7&lt;=$F23+$G23-1),2,IF(AND($C23="Milestone",AV$7&gt;=$F23,AV$7&lt;=$F23+$G23-1),1,""))</f>
        <v/>
      </c>
      <c r="AW23" s="71" t="str">
        <f aca="false">IF(AND($C23="Goal",AW$7&gt;=$F23,AW$7&lt;=$F23+$G23-1),2,IF(AND($C23="Milestone",AW$7&gt;=$F23,AW$7&lt;=$F23+$G23-1),1,""))</f>
        <v/>
      </c>
      <c r="AX23" s="71" t="str">
        <f aca="false">IF(AND($C23="Goal",AX$7&gt;=$F23,AX$7&lt;=$F23+$G23-1),2,IF(AND($C23="Milestone",AX$7&gt;=$F23,AX$7&lt;=$F23+$G23-1),1,""))</f>
        <v/>
      </c>
      <c r="AY23" s="71" t="str">
        <f aca="false">IF(AND($C23="Goal",AY$7&gt;=$F23,AY$7&lt;=$F23+$G23-1),2,IF(AND($C23="Milestone",AY$7&gt;=$F23,AY$7&lt;=$F23+$G23-1),1,""))</f>
        <v/>
      </c>
      <c r="AZ23" s="71" t="str">
        <f aca="false">IF(AND($C23="Goal",AZ$7&gt;=$F23,AZ$7&lt;=$F23+$G23-1),2,IF(AND($C23="Milestone",AZ$7&gt;=$F23,AZ$7&lt;=$F23+$G23-1),1,""))</f>
        <v/>
      </c>
      <c r="BA23" s="71" t="str">
        <f aca="false">IF(AND($C23="Goal",BA$7&gt;=$F23,BA$7&lt;=$F23+$G23-1),2,IF(AND($C23="Milestone",BA$7&gt;=$F23,BA$7&lt;=$F23+$G23-1),1,""))</f>
        <v/>
      </c>
      <c r="BB23" s="71" t="str">
        <f aca="false">IF(AND($C23="Goal",BB$7&gt;=$F23,BB$7&lt;=$F23+$G23-1),2,IF(AND($C23="Milestone",BB$7&gt;=$F23,BB$7&lt;=$F23+$G23-1),1,""))</f>
        <v/>
      </c>
      <c r="BC23" s="71" t="str">
        <f aca="false">IF(AND($C23="Goal",BC$7&gt;=$F23,BC$7&lt;=$F23+$G23-1),2,IF(AND($C23="Milestone",BC$7&gt;=$F23,BC$7&lt;=$F23+$G23-1),1,""))</f>
        <v/>
      </c>
      <c r="BD23" s="71" t="str">
        <f aca="false">IF(AND($C23="Goal",BD$7&gt;=$F23,BD$7&lt;=$F23+$G23-1),2,IF(AND($C23="Milestone",BD$7&gt;=$F23,BD$7&lt;=$F23+$G23-1),1,""))</f>
        <v/>
      </c>
      <c r="BE23" s="71" t="str">
        <f aca="false">IF(AND($C23="Goal",BE$7&gt;=$F23,BE$7&lt;=$F23+$G23-1),2,IF(AND($C23="Milestone",BE$7&gt;=$F23,BE$7&lt;=$F23+$G23-1),1,""))</f>
        <v/>
      </c>
      <c r="BF23" s="71" t="str">
        <f aca="false">IF(AND($C23="Goal",BF$7&gt;=$F23,BF$7&lt;=$F23+$G23-1),2,IF(AND($C23="Milestone",BF$7&gt;=$F23,BF$7&lt;=$F23+$G23-1),1,""))</f>
        <v/>
      </c>
      <c r="BG23" s="71" t="str">
        <f aca="false">IF(AND($C23="Goal",BG$7&gt;=$F23,BG$7&lt;=$F23+$G23-1),2,IF(AND($C23="Milestone",BG$7&gt;=$F23,BG$7&lt;=$F23+$G23-1),1,""))</f>
        <v/>
      </c>
      <c r="BH23" s="71" t="str">
        <f aca="false">IF(AND($C23="Goal",BH$7&gt;=$F23,BH$7&lt;=$F23+$G23-1),2,IF(AND($C23="Milestone",BH$7&gt;=$F23,BH$7&lt;=$F23+$G23-1),1,""))</f>
        <v/>
      </c>
      <c r="BI23" s="71" t="str">
        <f aca="false">IF(AND($C23="Goal",BI$7&gt;=$F23,BI$7&lt;=$F23+$G23-1),2,IF(AND($C23="Milestone",BI$7&gt;=$F23,BI$7&lt;=$F23+$G23-1),1,""))</f>
        <v/>
      </c>
      <c r="BJ23" s="71" t="str">
        <f aca="false">IF(AND($C23="Goal",BJ$7&gt;=$F23,BJ$7&lt;=$F23+$G23-1),2,IF(AND($C23="Milestone",BJ$7&gt;=$F23,BJ$7&lt;=$F23+$G23-1),1,""))</f>
        <v/>
      </c>
      <c r="BK23" s="71" t="str">
        <f aca="false">IF(AND($C23="Goal",BK$7&gt;=$F23,BK$7&lt;=$F23+$G23-1),2,IF(AND($C23="Milestone",BK$7&gt;=$F23,BK$7&lt;=$F23+$G23-1),1,""))</f>
        <v/>
      </c>
      <c r="BL23" s="71" t="str">
        <f aca="false">IF(AND($C23="Goal",BL$7&gt;=$F23,BL$7&lt;=$F23+$G23-1),2,IF(AND($C23="Milestone",BL$7&gt;=$F23,BL$7&lt;=$F23+$G23-1),1,""))</f>
        <v/>
      </c>
    </row>
    <row r="24" s="25" customFormat="true" ht="39.75" hidden="false" customHeight="true" outlineLevel="0" collapsed="false">
      <c r="A24" s="13"/>
      <c r="B24" s="101" t="s">
        <v>81</v>
      </c>
      <c r="C24" s="67" t="s">
        <v>90</v>
      </c>
      <c r="D24" s="67"/>
      <c r="E24" s="68"/>
      <c r="F24" s="69" t="n">
        <f aca="false">F12+15</f>
        <v>45980</v>
      </c>
      <c r="G24" s="70" t="n">
        <v>4</v>
      </c>
      <c r="H24" s="67"/>
      <c r="I24" s="71" t="str">
        <f aca="false">IF(AND($C24="Goal",I$7&gt;=$F24,I$7&lt;=$F24+$G24-1),2,IF(AND($C24="Milestone",I$7&gt;=$F24,I$7&lt;=$F24+$G24-1),1,""))</f>
        <v/>
      </c>
      <c r="J24" s="71" t="str">
        <f aca="false">IF(AND($C24="Goal",J$7&gt;=$F24,J$7&lt;=$F24+$G24-1),2,IF(AND($C24="Milestone",J$7&gt;=$F24,J$7&lt;=$F24+$G24-1),1,""))</f>
        <v/>
      </c>
      <c r="K24" s="71" t="str">
        <f aca="false">IF(AND($C24="Goal",K$7&gt;=$F24,K$7&lt;=$F24+$G24-1),2,IF(AND($C24="Milestone",K$7&gt;=$F24,K$7&lt;=$F24+$G24-1),1,""))</f>
        <v/>
      </c>
      <c r="L24" s="71" t="str">
        <f aca="false">IF(AND($C24="Goal",L$7&gt;=$F24,L$7&lt;=$F24+$G24-1),2,IF(AND($C24="Milestone",L$7&gt;=$F24,L$7&lt;=$F24+$G24-1),1,""))</f>
        <v/>
      </c>
      <c r="M24" s="71" t="str">
        <f aca="false">IF(AND($C24="Goal",M$7&gt;=$F24,M$7&lt;=$F24+$G24-1),2,IF(AND($C24="Milestone",M$7&gt;=$F24,M$7&lt;=$F24+$G24-1),1,""))</f>
        <v/>
      </c>
      <c r="N24" s="71" t="str">
        <f aca="false">IF(AND($C24="Goal",N$7&gt;=$F24,N$7&lt;=$F24+$G24-1),2,IF(AND($C24="Milestone",N$7&gt;=$F24,N$7&lt;=$F24+$G24-1),1,""))</f>
        <v/>
      </c>
      <c r="O24" s="71" t="str">
        <f aca="false">IF(AND($C24="Goal",O$7&gt;=$F24,O$7&lt;=$F24+$G24-1),2,IF(AND($C24="Milestone",O$7&gt;=$F24,O$7&lt;=$F24+$G24-1),1,""))</f>
        <v/>
      </c>
      <c r="P24" s="71" t="str">
        <f aca="false">IF(AND($C24="Goal",P$7&gt;=$F24,P$7&lt;=$F24+$G24-1),2,IF(AND($C24="Milestone",P$7&gt;=$F24,P$7&lt;=$F24+$G24-1),1,""))</f>
        <v/>
      </c>
      <c r="Q24" s="71" t="str">
        <f aca="false">IF(AND($C24="Goal",Q$7&gt;=$F24,Q$7&lt;=$F24+$G24-1),2,IF(AND($C24="Milestone",Q$7&gt;=$F24,Q$7&lt;=$F24+$G24-1),1,""))</f>
        <v/>
      </c>
      <c r="R24" s="71" t="str">
        <f aca="false">IF(AND($C24="Goal",R$7&gt;=$F24,R$7&lt;=$F24+$G24-1),2,IF(AND($C24="Milestone",R$7&gt;=$F24,R$7&lt;=$F24+$G24-1),1,""))</f>
        <v/>
      </c>
      <c r="S24" s="71" t="str">
        <f aca="false">IF(AND($C24="Goal",S$7&gt;=$F24,S$7&lt;=$F24+$G24-1),2,IF(AND($C24="Milestone",S$7&gt;=$F24,S$7&lt;=$F24+$G24-1),1,""))</f>
        <v/>
      </c>
      <c r="T24" s="71" t="str">
        <f aca="false">IF(AND($C24="Goal",T$7&gt;=$F24,T$7&lt;=$F24+$G24-1),2,IF(AND($C24="Milestone",T$7&gt;=$F24,T$7&lt;=$F24+$G24-1),1,""))</f>
        <v/>
      </c>
      <c r="U24" s="71" t="str">
        <f aca="false">IF(AND($C24="Goal",U$7&gt;=$F24,U$7&lt;=$F24+$G24-1),2,IF(AND($C24="Milestone",U$7&gt;=$F24,U$7&lt;=$F24+$G24-1),1,""))</f>
        <v/>
      </c>
      <c r="V24" s="71" t="str">
        <f aca="false">IF(AND($C24="Goal",V$7&gt;=$F24,V$7&lt;=$F24+$G24-1),2,IF(AND($C24="Milestone",V$7&gt;=$F24,V$7&lt;=$F24+$G24-1),1,""))</f>
        <v/>
      </c>
      <c r="W24" s="71" t="str">
        <f aca="false">IF(AND($C24="Goal",W$7&gt;=$F24,W$7&lt;=$F24+$G24-1),2,IF(AND($C24="Milestone",W$7&gt;=$F24,W$7&lt;=$F24+$G24-1),1,""))</f>
        <v/>
      </c>
      <c r="X24" s="71" t="str">
        <f aca="false">IF(AND($C24="Goal",X$7&gt;=$F24,X$7&lt;=$F24+$G24-1),2,IF(AND($C24="Milestone",X$7&gt;=$F24,X$7&lt;=$F24+$G24-1),1,""))</f>
        <v/>
      </c>
      <c r="Y24" s="71" t="str">
        <f aca="false">IF(AND($C24="Goal",Y$7&gt;=$F24,Y$7&lt;=$F24+$G24-1),2,IF(AND($C24="Milestone",Y$7&gt;=$F24,Y$7&lt;=$F24+$G24-1),1,""))</f>
        <v/>
      </c>
      <c r="Z24" s="71" t="str">
        <f aca="false">IF(AND($C24="Goal",Z$7&gt;=$F24,Z$7&lt;=$F24+$G24-1),2,IF(AND($C24="Milestone",Z$7&gt;=$F24,Z$7&lt;=$F24+$G24-1),1,""))</f>
        <v/>
      </c>
      <c r="AA24" s="71" t="str">
        <f aca="false">IF(AND($C24="Goal",AA$7&gt;=$F24,AA$7&lt;=$F24+$G24-1),2,IF(AND($C24="Milestone",AA$7&gt;=$F24,AA$7&lt;=$F24+$G24-1),1,""))</f>
        <v/>
      </c>
      <c r="AB24" s="71" t="str">
        <f aca="false">IF(AND($C24="Goal",AB$7&gt;=$F24,AB$7&lt;=$F24+$G24-1),2,IF(AND($C24="Milestone",AB$7&gt;=$F24,AB$7&lt;=$F24+$G24-1),1,""))</f>
        <v/>
      </c>
      <c r="AC24" s="71" t="str">
        <f aca="false">IF(AND($C24="Goal",AC$7&gt;=$F24,AC$7&lt;=$F24+$G24-1),2,IF(AND($C24="Milestone",AC$7&gt;=$F24,AC$7&lt;=$F24+$G24-1),1,""))</f>
        <v/>
      </c>
      <c r="AD24" s="71" t="str">
        <f aca="false">IF(AND($C24="Goal",AD$7&gt;=$F24,AD$7&lt;=$F24+$G24-1),2,IF(AND($C24="Milestone",AD$7&gt;=$F24,AD$7&lt;=$F24+$G24-1),1,""))</f>
        <v/>
      </c>
      <c r="AE24" s="71" t="str">
        <f aca="false">IF(AND($C24="Goal",AE$7&gt;=$F24,AE$7&lt;=$F24+$G24-1),2,IF(AND($C24="Milestone",AE$7&gt;=$F24,AE$7&lt;=$F24+$G24-1),1,""))</f>
        <v/>
      </c>
      <c r="AF24" s="71" t="str">
        <f aca="false">IF(AND($C24="Goal",AF$7&gt;=$F24,AF$7&lt;=$F24+$G24-1),2,IF(AND($C24="Milestone",AF$7&gt;=$F24,AF$7&lt;=$F24+$G24-1),1,""))</f>
        <v/>
      </c>
      <c r="AG24" s="71" t="str">
        <f aca="false">IF(AND($C24="Goal",AG$7&gt;=$F24,AG$7&lt;=$F24+$G24-1),2,IF(AND($C24="Milestone",AG$7&gt;=$F24,AG$7&lt;=$F24+$G24-1),1,""))</f>
        <v/>
      </c>
      <c r="AH24" s="71" t="str">
        <f aca="false">IF(AND($C24="Goal",AH$7&gt;=$F24,AH$7&lt;=$F24+$G24-1),2,IF(AND($C24="Milestone",AH$7&gt;=$F24,AH$7&lt;=$F24+$G24-1),1,""))</f>
        <v/>
      </c>
      <c r="AI24" s="71" t="str">
        <f aca="false">IF(AND($C24="Goal",AI$7&gt;=$F24,AI$7&lt;=$F24+$G24-1),2,IF(AND($C24="Milestone",AI$7&gt;=$F24,AI$7&lt;=$F24+$G24-1),1,""))</f>
        <v/>
      </c>
      <c r="AJ24" s="71" t="str">
        <f aca="false">IF(AND($C24="Goal",AJ$7&gt;=$F24,AJ$7&lt;=$F24+$G24-1),2,IF(AND($C24="Milestone",AJ$7&gt;=$F24,AJ$7&lt;=$F24+$G24-1),1,""))</f>
        <v/>
      </c>
      <c r="AK24" s="71" t="str">
        <f aca="false">IF(AND($C24="Goal",AK$7&gt;=$F24,AK$7&lt;=$F24+$G24-1),2,IF(AND($C24="Milestone",AK$7&gt;=$F24,AK$7&lt;=$F24+$G24-1),1,""))</f>
        <v/>
      </c>
      <c r="AL24" s="71" t="str">
        <f aca="false">IF(AND($C24="Goal",AL$7&gt;=$F24,AL$7&lt;=$F24+$G24-1),2,IF(AND($C24="Milestone",AL$7&gt;=$F24,AL$7&lt;=$F24+$G24-1),1,""))</f>
        <v/>
      </c>
      <c r="AM24" s="71" t="str">
        <f aca="false">IF(AND($C24="Goal",AM$7&gt;=$F24,AM$7&lt;=$F24+$G24-1),2,IF(AND($C24="Milestone",AM$7&gt;=$F24,AM$7&lt;=$F24+$G24-1),1,""))</f>
        <v/>
      </c>
      <c r="AN24" s="71" t="str">
        <f aca="false">IF(AND($C24="Goal",AN$7&gt;=$F24,AN$7&lt;=$F24+$G24-1),2,IF(AND($C24="Milestone",AN$7&gt;=$F24,AN$7&lt;=$F24+$G24-1),1,""))</f>
        <v/>
      </c>
      <c r="AO24" s="71" t="str">
        <f aca="false">IF(AND($C24="Goal",AO$7&gt;=$F24,AO$7&lt;=$F24+$G24-1),2,IF(AND($C24="Milestone",AO$7&gt;=$F24,AO$7&lt;=$F24+$G24-1),1,""))</f>
        <v/>
      </c>
      <c r="AP24" s="71" t="str">
        <f aca="false">IF(AND($C24="Goal",AP$7&gt;=$F24,AP$7&lt;=$F24+$G24-1),2,IF(AND($C24="Milestone",AP$7&gt;=$F24,AP$7&lt;=$F24+$G24-1),1,""))</f>
        <v/>
      </c>
      <c r="AQ24" s="71" t="str">
        <f aca="false">IF(AND($C24="Goal",AQ$7&gt;=$F24,AQ$7&lt;=$F24+$G24-1),2,IF(AND($C24="Milestone",AQ$7&gt;=$F24,AQ$7&lt;=$F24+$G24-1),1,""))</f>
        <v/>
      </c>
      <c r="AR24" s="71" t="str">
        <f aca="false">IF(AND($C24="Goal",AR$7&gt;=$F24,AR$7&lt;=$F24+$G24-1),2,IF(AND($C24="Milestone",AR$7&gt;=$F24,AR$7&lt;=$F24+$G24-1),1,""))</f>
        <v/>
      </c>
      <c r="AS24" s="71" t="str">
        <f aca="false">IF(AND($C24="Goal",AS$7&gt;=$F24,AS$7&lt;=$F24+$G24-1),2,IF(AND($C24="Milestone",AS$7&gt;=$F24,AS$7&lt;=$F24+$G24-1),1,""))</f>
        <v/>
      </c>
      <c r="AT24" s="71" t="str">
        <f aca="false">IF(AND($C24="Goal",AT$7&gt;=$F24,AT$7&lt;=$F24+$G24-1),2,IF(AND($C24="Milestone",AT$7&gt;=$F24,AT$7&lt;=$F24+$G24-1),1,""))</f>
        <v/>
      </c>
      <c r="AU24" s="71" t="str">
        <f aca="false">IF(AND($C24="Goal",AU$7&gt;=$F24,AU$7&lt;=$F24+$G24-1),2,IF(AND($C24="Milestone",AU$7&gt;=$F24,AU$7&lt;=$F24+$G24-1),1,""))</f>
        <v/>
      </c>
      <c r="AV24" s="71" t="str">
        <f aca="false">IF(AND($C24="Goal",AV$7&gt;=$F24,AV$7&lt;=$F24+$G24-1),2,IF(AND($C24="Milestone",AV$7&gt;=$F24,AV$7&lt;=$F24+$G24-1),1,""))</f>
        <v/>
      </c>
      <c r="AW24" s="71" t="str">
        <f aca="false">IF(AND($C24="Goal",AW$7&gt;=$F24,AW$7&lt;=$F24+$G24-1),2,IF(AND($C24="Milestone",AW$7&gt;=$F24,AW$7&lt;=$F24+$G24-1),1,""))</f>
        <v/>
      </c>
      <c r="AX24" s="71" t="str">
        <f aca="false">IF(AND($C24="Goal",AX$7&gt;=$F24,AX$7&lt;=$F24+$G24-1),2,IF(AND($C24="Milestone",AX$7&gt;=$F24,AX$7&lt;=$F24+$G24-1),1,""))</f>
        <v/>
      </c>
      <c r="AY24" s="71" t="str">
        <f aca="false">IF(AND($C24="Goal",AY$7&gt;=$F24,AY$7&lt;=$F24+$G24-1),2,IF(AND($C24="Milestone",AY$7&gt;=$F24,AY$7&lt;=$F24+$G24-1),1,""))</f>
        <v/>
      </c>
      <c r="AZ24" s="71" t="str">
        <f aca="false">IF(AND($C24="Goal",AZ$7&gt;=$F24,AZ$7&lt;=$F24+$G24-1),2,IF(AND($C24="Milestone",AZ$7&gt;=$F24,AZ$7&lt;=$F24+$G24-1),1,""))</f>
        <v/>
      </c>
      <c r="BA24" s="71" t="str">
        <f aca="false">IF(AND($C24="Goal",BA$7&gt;=$F24,BA$7&lt;=$F24+$G24-1),2,IF(AND($C24="Milestone",BA$7&gt;=$F24,BA$7&lt;=$F24+$G24-1),1,""))</f>
        <v/>
      </c>
      <c r="BB24" s="71" t="str">
        <f aca="false">IF(AND($C24="Goal",BB$7&gt;=$F24,BB$7&lt;=$F24+$G24-1),2,IF(AND($C24="Milestone",BB$7&gt;=$F24,BB$7&lt;=$F24+$G24-1),1,""))</f>
        <v/>
      </c>
      <c r="BC24" s="71" t="str">
        <f aca="false">IF(AND($C24="Goal",BC$7&gt;=$F24,BC$7&lt;=$F24+$G24-1),2,IF(AND($C24="Milestone",BC$7&gt;=$F24,BC$7&lt;=$F24+$G24-1),1,""))</f>
        <v/>
      </c>
      <c r="BD24" s="71" t="str">
        <f aca="false">IF(AND($C24="Goal",BD$7&gt;=$F24,BD$7&lt;=$F24+$G24-1),2,IF(AND($C24="Milestone",BD$7&gt;=$F24,BD$7&lt;=$F24+$G24-1),1,""))</f>
        <v/>
      </c>
      <c r="BE24" s="71" t="str">
        <f aca="false">IF(AND($C24="Goal",BE$7&gt;=$F24,BE$7&lt;=$F24+$G24-1),2,IF(AND($C24="Milestone",BE$7&gt;=$F24,BE$7&lt;=$F24+$G24-1),1,""))</f>
        <v/>
      </c>
      <c r="BF24" s="71" t="str">
        <f aca="false">IF(AND($C24="Goal",BF$7&gt;=$F24,BF$7&lt;=$F24+$G24-1),2,IF(AND($C24="Milestone",BF$7&gt;=$F24,BF$7&lt;=$F24+$G24-1),1,""))</f>
        <v/>
      </c>
      <c r="BG24" s="71" t="str">
        <f aca="false">IF(AND($C24="Goal",BG$7&gt;=$F24,BG$7&lt;=$F24+$G24-1),2,IF(AND($C24="Milestone",BG$7&gt;=$F24,BG$7&lt;=$F24+$G24-1),1,""))</f>
        <v/>
      </c>
      <c r="BH24" s="71" t="str">
        <f aca="false">IF(AND($C24="Goal",BH$7&gt;=$F24,BH$7&lt;=$F24+$G24-1),2,IF(AND($C24="Milestone",BH$7&gt;=$F24,BH$7&lt;=$F24+$G24-1),1,""))</f>
        <v/>
      </c>
      <c r="BI24" s="71" t="str">
        <f aca="false">IF(AND($C24="Goal",BI$7&gt;=$F24,BI$7&lt;=$F24+$G24-1),2,IF(AND($C24="Milestone",BI$7&gt;=$F24,BI$7&lt;=$F24+$G24-1),1,""))</f>
        <v/>
      </c>
      <c r="BJ24" s="71" t="str">
        <f aca="false">IF(AND($C24="Goal",BJ$7&gt;=$F24,BJ$7&lt;=$F24+$G24-1),2,IF(AND($C24="Milestone",BJ$7&gt;=$F24,BJ$7&lt;=$F24+$G24-1),1,""))</f>
        <v/>
      </c>
      <c r="BK24" s="71" t="str">
        <f aca="false">IF(AND($C24="Goal",BK$7&gt;=$F24,BK$7&lt;=$F24+$G24-1),2,IF(AND($C24="Milestone",BK$7&gt;=$F24,BK$7&lt;=$F24+$G24-1),1,""))</f>
        <v/>
      </c>
      <c r="BL24" s="71" t="str">
        <f aca="false">IF(AND($C24="Goal",BL$7&gt;=$F24,BL$7&lt;=$F24+$G24-1),2,IF(AND($C24="Milestone",BL$7&gt;=$F24,BL$7&lt;=$F24+$G24-1),1,""))</f>
        <v/>
      </c>
    </row>
    <row r="25" s="25" customFormat="true" ht="39.75" hidden="false" customHeight="true" outlineLevel="0" collapsed="false">
      <c r="A25" s="13"/>
      <c r="B25" s="101" t="s">
        <v>84</v>
      </c>
      <c r="C25" s="67" t="s">
        <v>20</v>
      </c>
      <c r="D25" s="67"/>
      <c r="E25" s="68"/>
      <c r="F25" s="69" t="n">
        <f aca="false">F24+3</f>
        <v>45983</v>
      </c>
      <c r="G25" s="70" t="n">
        <v>14</v>
      </c>
      <c r="H25" s="67"/>
      <c r="I25" s="71" t="str">
        <f aca="false">IF(AND($C25="Goal",I$7&gt;=$F25,I$7&lt;=$F25+$G25-1),2,IF(AND($C25="Milestone",I$7&gt;=$F25,I$7&lt;=$F25+$G25-1),1,""))</f>
        <v/>
      </c>
      <c r="J25" s="71" t="str">
        <f aca="false">IF(AND($C25="Goal",J$7&gt;=$F25,J$7&lt;=$F25+$G25-1),2,IF(AND($C25="Milestone",J$7&gt;=$F25,J$7&lt;=$F25+$G25-1),1,""))</f>
        <v/>
      </c>
      <c r="K25" s="71" t="str">
        <f aca="false">IF(AND($C25="Goal",K$7&gt;=$F25,K$7&lt;=$F25+$G25-1),2,IF(AND($C25="Milestone",K$7&gt;=$F25,K$7&lt;=$F25+$G25-1),1,""))</f>
        <v/>
      </c>
      <c r="L25" s="71" t="str">
        <f aca="false">IF(AND($C25="Goal",L$7&gt;=$F25,L$7&lt;=$F25+$G25-1),2,IF(AND($C25="Milestone",L$7&gt;=$F25,L$7&lt;=$F25+$G25-1),1,""))</f>
        <v/>
      </c>
      <c r="M25" s="71" t="str">
        <f aca="false">IF(AND($C25="Goal",M$7&gt;=$F25,M$7&lt;=$F25+$G25-1),2,IF(AND($C25="Milestone",M$7&gt;=$F25,M$7&lt;=$F25+$G25-1),1,""))</f>
        <v/>
      </c>
      <c r="N25" s="71" t="str">
        <f aca="false">IF(AND($C25="Goal",N$7&gt;=$F25,N$7&lt;=$F25+$G25-1),2,IF(AND($C25="Milestone",N$7&gt;=$F25,N$7&lt;=$F25+$G25-1),1,""))</f>
        <v/>
      </c>
      <c r="O25" s="71" t="str">
        <f aca="false">IF(AND($C25="Goal",O$7&gt;=$F25,O$7&lt;=$F25+$G25-1),2,IF(AND($C25="Milestone",O$7&gt;=$F25,O$7&lt;=$F25+$G25-1),1,""))</f>
        <v/>
      </c>
      <c r="P25" s="71" t="str">
        <f aca="false">IF(AND($C25="Goal",P$7&gt;=$F25,P$7&lt;=$F25+$G25-1),2,IF(AND($C25="Milestone",P$7&gt;=$F25,P$7&lt;=$F25+$G25-1),1,""))</f>
        <v/>
      </c>
      <c r="Q25" s="71" t="str">
        <f aca="false">IF(AND($C25="Goal",Q$7&gt;=$F25,Q$7&lt;=$F25+$G25-1),2,IF(AND($C25="Milestone",Q$7&gt;=$F25,Q$7&lt;=$F25+$G25-1),1,""))</f>
        <v/>
      </c>
      <c r="R25" s="71" t="str">
        <f aca="false">IF(AND($C25="Goal",R$7&gt;=$F25,R$7&lt;=$F25+$G25-1),2,IF(AND($C25="Milestone",R$7&gt;=$F25,R$7&lt;=$F25+$G25-1),1,""))</f>
        <v/>
      </c>
      <c r="S25" s="71" t="str">
        <f aca="false">IF(AND($C25="Goal",S$7&gt;=$F25,S$7&lt;=$F25+$G25-1),2,IF(AND($C25="Milestone",S$7&gt;=$F25,S$7&lt;=$F25+$G25-1),1,""))</f>
        <v/>
      </c>
      <c r="T25" s="71" t="str">
        <f aca="false">IF(AND($C25="Goal",T$7&gt;=$F25,T$7&lt;=$F25+$G25-1),2,IF(AND($C25="Milestone",T$7&gt;=$F25,T$7&lt;=$F25+$G25-1),1,""))</f>
        <v/>
      </c>
      <c r="U25" s="71" t="str">
        <f aca="false">IF(AND($C25="Goal",U$7&gt;=$F25,U$7&lt;=$F25+$G25-1),2,IF(AND($C25="Milestone",U$7&gt;=$F25,U$7&lt;=$F25+$G25-1),1,""))</f>
        <v/>
      </c>
      <c r="V25" s="71" t="str">
        <f aca="false">IF(AND($C25="Goal",V$7&gt;=$F25,V$7&lt;=$F25+$G25-1),2,IF(AND($C25="Milestone",V$7&gt;=$F25,V$7&lt;=$F25+$G25-1),1,""))</f>
        <v/>
      </c>
      <c r="W25" s="71" t="str">
        <f aca="false">IF(AND($C25="Goal",W$7&gt;=$F25,W$7&lt;=$F25+$G25-1),2,IF(AND($C25="Milestone",W$7&gt;=$F25,W$7&lt;=$F25+$G25-1),1,""))</f>
        <v/>
      </c>
      <c r="X25" s="71" t="str">
        <f aca="false">IF(AND($C25="Goal",X$7&gt;=$F25,X$7&lt;=$F25+$G25-1),2,IF(AND($C25="Milestone",X$7&gt;=$F25,X$7&lt;=$F25+$G25-1),1,""))</f>
        <v/>
      </c>
      <c r="Y25" s="71" t="str">
        <f aca="false">IF(AND($C25="Goal",Y$7&gt;=$F25,Y$7&lt;=$F25+$G25-1),2,IF(AND($C25="Milestone",Y$7&gt;=$F25,Y$7&lt;=$F25+$G25-1),1,""))</f>
        <v/>
      </c>
      <c r="Z25" s="71" t="str">
        <f aca="false">IF(AND($C25="Goal",Z$7&gt;=$F25,Z$7&lt;=$F25+$G25-1),2,IF(AND($C25="Milestone",Z$7&gt;=$F25,Z$7&lt;=$F25+$G25-1),1,""))</f>
        <v/>
      </c>
      <c r="AA25" s="71" t="str">
        <f aca="false">IF(AND($C25="Goal",AA$7&gt;=$F25,AA$7&lt;=$F25+$G25-1),2,IF(AND($C25="Milestone",AA$7&gt;=$F25,AA$7&lt;=$F25+$G25-1),1,""))</f>
        <v/>
      </c>
      <c r="AB25" s="71" t="str">
        <f aca="false">IF(AND($C25="Goal",AB$7&gt;=$F25,AB$7&lt;=$F25+$G25-1),2,IF(AND($C25="Milestone",AB$7&gt;=$F25,AB$7&lt;=$F25+$G25-1),1,""))</f>
        <v/>
      </c>
      <c r="AC25" s="71" t="str">
        <f aca="false">IF(AND($C25="Goal",AC$7&gt;=$F25,AC$7&lt;=$F25+$G25-1),2,IF(AND($C25="Milestone",AC$7&gt;=$F25,AC$7&lt;=$F25+$G25-1),1,""))</f>
        <v/>
      </c>
      <c r="AD25" s="71" t="str">
        <f aca="false">IF(AND($C25="Goal",AD$7&gt;=$F25,AD$7&lt;=$F25+$G25-1),2,IF(AND($C25="Milestone",AD$7&gt;=$F25,AD$7&lt;=$F25+$G25-1),1,""))</f>
        <v/>
      </c>
      <c r="AE25" s="71" t="str">
        <f aca="false">IF(AND($C25="Goal",AE$7&gt;=$F25,AE$7&lt;=$F25+$G25-1),2,IF(AND($C25="Milestone",AE$7&gt;=$F25,AE$7&lt;=$F25+$G25-1),1,""))</f>
        <v/>
      </c>
      <c r="AF25" s="71" t="str">
        <f aca="false">IF(AND($C25="Goal",AF$7&gt;=$F25,AF$7&lt;=$F25+$G25-1),2,IF(AND($C25="Milestone",AF$7&gt;=$F25,AF$7&lt;=$F25+$G25-1),1,""))</f>
        <v/>
      </c>
      <c r="AG25" s="71" t="str">
        <f aca="false">IF(AND($C25="Goal",AG$7&gt;=$F25,AG$7&lt;=$F25+$G25-1),2,IF(AND($C25="Milestone",AG$7&gt;=$F25,AG$7&lt;=$F25+$G25-1),1,""))</f>
        <v/>
      </c>
      <c r="AH25" s="71" t="str">
        <f aca="false">IF(AND($C25="Goal",AH$7&gt;=$F25,AH$7&lt;=$F25+$G25-1),2,IF(AND($C25="Milestone",AH$7&gt;=$F25,AH$7&lt;=$F25+$G25-1),1,""))</f>
        <v/>
      </c>
      <c r="AI25" s="71" t="str">
        <f aca="false">IF(AND($C25="Goal",AI$7&gt;=$F25,AI$7&lt;=$F25+$G25-1),2,IF(AND($C25="Milestone",AI$7&gt;=$F25,AI$7&lt;=$F25+$G25-1),1,""))</f>
        <v/>
      </c>
      <c r="AJ25" s="71" t="str">
        <f aca="false">IF(AND($C25="Goal",AJ$7&gt;=$F25,AJ$7&lt;=$F25+$G25-1),2,IF(AND($C25="Milestone",AJ$7&gt;=$F25,AJ$7&lt;=$F25+$G25-1),1,""))</f>
        <v/>
      </c>
      <c r="AK25" s="71" t="str">
        <f aca="false">IF(AND($C25="Goal",AK$7&gt;=$F25,AK$7&lt;=$F25+$G25-1),2,IF(AND($C25="Milestone",AK$7&gt;=$F25,AK$7&lt;=$F25+$G25-1),1,""))</f>
        <v/>
      </c>
      <c r="AL25" s="71" t="str">
        <f aca="false">IF(AND($C25="Goal",AL$7&gt;=$F25,AL$7&lt;=$F25+$G25-1),2,IF(AND($C25="Milestone",AL$7&gt;=$F25,AL$7&lt;=$F25+$G25-1),1,""))</f>
        <v/>
      </c>
      <c r="AM25" s="71" t="str">
        <f aca="false">IF(AND($C25="Goal",AM$7&gt;=$F25,AM$7&lt;=$F25+$G25-1),2,IF(AND($C25="Milestone",AM$7&gt;=$F25,AM$7&lt;=$F25+$G25-1),1,""))</f>
        <v/>
      </c>
      <c r="AN25" s="71" t="str">
        <f aca="false">IF(AND($C25="Goal",AN$7&gt;=$F25,AN$7&lt;=$F25+$G25-1),2,IF(AND($C25="Milestone",AN$7&gt;=$F25,AN$7&lt;=$F25+$G25-1),1,""))</f>
        <v/>
      </c>
      <c r="AO25" s="71" t="str">
        <f aca="false">IF(AND($C25="Goal",AO$7&gt;=$F25,AO$7&lt;=$F25+$G25-1),2,IF(AND($C25="Milestone",AO$7&gt;=$F25,AO$7&lt;=$F25+$G25-1),1,""))</f>
        <v/>
      </c>
      <c r="AP25" s="71" t="str">
        <f aca="false">IF(AND($C25="Goal",AP$7&gt;=$F25,AP$7&lt;=$F25+$G25-1),2,IF(AND($C25="Milestone",AP$7&gt;=$F25,AP$7&lt;=$F25+$G25-1),1,""))</f>
        <v/>
      </c>
      <c r="AQ25" s="71" t="str">
        <f aca="false">IF(AND($C25="Goal",AQ$7&gt;=$F25,AQ$7&lt;=$F25+$G25-1),2,IF(AND($C25="Milestone",AQ$7&gt;=$F25,AQ$7&lt;=$F25+$G25-1),1,""))</f>
        <v/>
      </c>
      <c r="AR25" s="71" t="str">
        <f aca="false">IF(AND($C25="Goal",AR$7&gt;=$F25,AR$7&lt;=$F25+$G25-1),2,IF(AND($C25="Milestone",AR$7&gt;=$F25,AR$7&lt;=$F25+$G25-1),1,""))</f>
        <v/>
      </c>
      <c r="AS25" s="71" t="str">
        <f aca="false">IF(AND($C25="Goal",AS$7&gt;=$F25,AS$7&lt;=$F25+$G25-1),2,IF(AND($C25="Milestone",AS$7&gt;=$F25,AS$7&lt;=$F25+$G25-1),1,""))</f>
        <v/>
      </c>
      <c r="AT25" s="71" t="str">
        <f aca="false">IF(AND($C25="Goal",AT$7&gt;=$F25,AT$7&lt;=$F25+$G25-1),2,IF(AND($C25="Milestone",AT$7&gt;=$F25,AT$7&lt;=$F25+$G25-1),1,""))</f>
        <v/>
      </c>
      <c r="AU25" s="71" t="str">
        <f aca="false">IF(AND($C25="Goal",AU$7&gt;=$F25,AU$7&lt;=$F25+$G25-1),2,IF(AND($C25="Milestone",AU$7&gt;=$F25,AU$7&lt;=$F25+$G25-1),1,""))</f>
        <v/>
      </c>
      <c r="AV25" s="71" t="str">
        <f aca="false">IF(AND($C25="Goal",AV$7&gt;=$F25,AV$7&lt;=$F25+$G25-1),2,IF(AND($C25="Milestone",AV$7&gt;=$F25,AV$7&lt;=$F25+$G25-1),1,""))</f>
        <v/>
      </c>
      <c r="AW25" s="71" t="str">
        <f aca="false">IF(AND($C25="Goal",AW$7&gt;=$F25,AW$7&lt;=$F25+$G25-1),2,IF(AND($C25="Milestone",AW$7&gt;=$F25,AW$7&lt;=$F25+$G25-1),1,""))</f>
        <v/>
      </c>
      <c r="AX25" s="71" t="str">
        <f aca="false">IF(AND($C25="Goal",AX$7&gt;=$F25,AX$7&lt;=$F25+$G25-1),2,IF(AND($C25="Milestone",AX$7&gt;=$F25,AX$7&lt;=$F25+$G25-1),1,""))</f>
        <v/>
      </c>
      <c r="AY25" s="71" t="str">
        <f aca="false">IF(AND($C25="Goal",AY$7&gt;=$F25,AY$7&lt;=$F25+$G25-1),2,IF(AND($C25="Milestone",AY$7&gt;=$F25,AY$7&lt;=$F25+$G25-1),1,""))</f>
        <v/>
      </c>
      <c r="AZ25" s="71" t="str">
        <f aca="false">IF(AND($C25="Goal",AZ$7&gt;=$F25,AZ$7&lt;=$F25+$G25-1),2,IF(AND($C25="Milestone",AZ$7&gt;=$F25,AZ$7&lt;=$F25+$G25-1),1,""))</f>
        <v/>
      </c>
      <c r="BA25" s="71" t="str">
        <f aca="false">IF(AND($C25="Goal",BA$7&gt;=$F25,BA$7&lt;=$F25+$G25-1),2,IF(AND($C25="Milestone",BA$7&gt;=$F25,BA$7&lt;=$F25+$G25-1),1,""))</f>
        <v/>
      </c>
      <c r="BB25" s="71" t="str">
        <f aca="false">IF(AND($C25="Goal",BB$7&gt;=$F25,BB$7&lt;=$F25+$G25-1),2,IF(AND($C25="Milestone",BB$7&gt;=$F25,BB$7&lt;=$F25+$G25-1),1,""))</f>
        <v/>
      </c>
      <c r="BC25" s="71" t="str">
        <f aca="false">IF(AND($C25="Goal",BC$7&gt;=$F25,BC$7&lt;=$F25+$G25-1),2,IF(AND($C25="Milestone",BC$7&gt;=$F25,BC$7&lt;=$F25+$G25-1),1,""))</f>
        <v/>
      </c>
      <c r="BD25" s="71" t="str">
        <f aca="false">IF(AND($C25="Goal",BD$7&gt;=$F25,BD$7&lt;=$F25+$G25-1),2,IF(AND($C25="Milestone",BD$7&gt;=$F25,BD$7&lt;=$F25+$G25-1),1,""))</f>
        <v/>
      </c>
      <c r="BE25" s="71" t="str">
        <f aca="false">IF(AND($C25="Goal",BE$7&gt;=$F25,BE$7&lt;=$F25+$G25-1),2,IF(AND($C25="Milestone",BE$7&gt;=$F25,BE$7&lt;=$F25+$G25-1),1,""))</f>
        <v/>
      </c>
      <c r="BF25" s="71" t="str">
        <f aca="false">IF(AND($C25="Goal",BF$7&gt;=$F25,BF$7&lt;=$F25+$G25-1),2,IF(AND($C25="Milestone",BF$7&gt;=$F25,BF$7&lt;=$F25+$G25-1),1,""))</f>
        <v/>
      </c>
      <c r="BG25" s="71" t="str">
        <f aca="false">IF(AND($C25="Goal",BG$7&gt;=$F25,BG$7&lt;=$F25+$G25-1),2,IF(AND($C25="Milestone",BG$7&gt;=$F25,BG$7&lt;=$F25+$G25-1),1,""))</f>
        <v/>
      </c>
      <c r="BH25" s="71" t="str">
        <f aca="false">IF(AND($C25="Goal",BH$7&gt;=$F25,BH$7&lt;=$F25+$G25-1),2,IF(AND($C25="Milestone",BH$7&gt;=$F25,BH$7&lt;=$F25+$G25-1),1,""))</f>
        <v/>
      </c>
      <c r="BI25" s="71" t="str">
        <f aca="false">IF(AND($C25="Goal",BI$7&gt;=$F25,BI$7&lt;=$F25+$G25-1),2,IF(AND($C25="Milestone",BI$7&gt;=$F25,BI$7&lt;=$F25+$G25-1),1,""))</f>
        <v/>
      </c>
      <c r="BJ25" s="71" t="str">
        <f aca="false">IF(AND($C25="Goal",BJ$7&gt;=$F25,BJ$7&lt;=$F25+$G25-1),2,IF(AND($C25="Milestone",BJ$7&gt;=$F25,BJ$7&lt;=$F25+$G25-1),1,""))</f>
        <v/>
      </c>
      <c r="BK25" s="71" t="str">
        <f aca="false">IF(AND($C25="Goal",BK$7&gt;=$F25,BK$7&lt;=$F25+$G25-1),2,IF(AND($C25="Milestone",BK$7&gt;=$F25,BK$7&lt;=$F25+$G25-1),1,""))</f>
        <v/>
      </c>
      <c r="BL25" s="71" t="str">
        <f aca="false">IF(AND($C25="Goal",BL$7&gt;=$F25,BL$7&lt;=$F25+$G25-1),2,IF(AND($C25="Milestone",BL$7&gt;=$F25,BL$7&lt;=$F25+$G25-1),1,""))</f>
        <v/>
      </c>
    </row>
    <row r="26" s="25" customFormat="true" ht="39.75" hidden="false" customHeight="true" outlineLevel="0" collapsed="false">
      <c r="A26" s="13"/>
      <c r="B26" s="101" t="s">
        <v>86</v>
      </c>
      <c r="C26" s="67" t="s">
        <v>90</v>
      </c>
      <c r="D26" s="67"/>
      <c r="E26" s="68"/>
      <c r="F26" s="69" t="n">
        <f aca="false">F25+15</f>
        <v>45998</v>
      </c>
      <c r="G26" s="70" t="n">
        <v>6</v>
      </c>
      <c r="H26" s="67"/>
      <c r="I26" s="71" t="str">
        <f aca="false">IF(AND($C26="Goal",I$7&gt;=$F26,I$7&lt;=$F26+$G26-1),2,IF(AND($C26="Milestone",I$7&gt;=$F26,I$7&lt;=$F26+$G26-1),1,""))</f>
        <v/>
      </c>
      <c r="J26" s="71" t="str">
        <f aca="false">IF(AND($C26="Goal",J$7&gt;=$F26,J$7&lt;=$F26+$G26-1),2,IF(AND($C26="Milestone",J$7&gt;=$F26,J$7&lt;=$F26+$G26-1),1,""))</f>
        <v/>
      </c>
      <c r="K26" s="71" t="str">
        <f aca="false">IF(AND($C26="Goal",K$7&gt;=$F26,K$7&lt;=$F26+$G26-1),2,IF(AND($C26="Milestone",K$7&gt;=$F26,K$7&lt;=$F26+$G26-1),1,""))</f>
        <v/>
      </c>
      <c r="L26" s="71" t="str">
        <f aca="false">IF(AND($C26="Goal",L$7&gt;=$F26,L$7&lt;=$F26+$G26-1),2,IF(AND($C26="Milestone",L$7&gt;=$F26,L$7&lt;=$F26+$G26-1),1,""))</f>
        <v/>
      </c>
      <c r="M26" s="71" t="str">
        <f aca="false">IF(AND($C26="Goal",M$7&gt;=$F26,M$7&lt;=$F26+$G26-1),2,IF(AND($C26="Milestone",M$7&gt;=$F26,M$7&lt;=$F26+$G26-1),1,""))</f>
        <v/>
      </c>
      <c r="N26" s="71" t="str">
        <f aca="false">IF(AND($C26="Goal",N$7&gt;=$F26,N$7&lt;=$F26+$G26-1),2,IF(AND($C26="Milestone",N$7&gt;=$F26,N$7&lt;=$F26+$G26-1),1,""))</f>
        <v/>
      </c>
      <c r="O26" s="71" t="str">
        <f aca="false">IF(AND($C26="Goal",O$7&gt;=$F26,O$7&lt;=$F26+$G26-1),2,IF(AND($C26="Milestone",O$7&gt;=$F26,O$7&lt;=$F26+$G26-1),1,""))</f>
        <v/>
      </c>
      <c r="P26" s="71" t="str">
        <f aca="false">IF(AND($C26="Goal",P$7&gt;=$F26,P$7&lt;=$F26+$G26-1),2,IF(AND($C26="Milestone",P$7&gt;=$F26,P$7&lt;=$F26+$G26-1),1,""))</f>
        <v/>
      </c>
      <c r="Q26" s="71" t="str">
        <f aca="false">IF(AND($C26="Goal",Q$7&gt;=$F26,Q$7&lt;=$F26+$G26-1),2,IF(AND($C26="Milestone",Q$7&gt;=$F26,Q$7&lt;=$F26+$G26-1),1,""))</f>
        <v/>
      </c>
      <c r="R26" s="71" t="str">
        <f aca="false">IF(AND($C26="Goal",R$7&gt;=$F26,R$7&lt;=$F26+$G26-1),2,IF(AND($C26="Milestone",R$7&gt;=$F26,R$7&lt;=$F26+$G26-1),1,""))</f>
        <v/>
      </c>
      <c r="S26" s="71" t="str">
        <f aca="false">IF(AND($C26="Goal",S$7&gt;=$F26,S$7&lt;=$F26+$G26-1),2,IF(AND($C26="Milestone",S$7&gt;=$F26,S$7&lt;=$F26+$G26-1),1,""))</f>
        <v/>
      </c>
      <c r="T26" s="71" t="str">
        <f aca="false">IF(AND($C26="Goal",T$7&gt;=$F26,T$7&lt;=$F26+$G26-1),2,IF(AND($C26="Milestone",T$7&gt;=$F26,T$7&lt;=$F26+$G26-1),1,""))</f>
        <v/>
      </c>
      <c r="U26" s="71" t="str">
        <f aca="false">IF(AND($C26="Goal",U$7&gt;=$F26,U$7&lt;=$F26+$G26-1),2,IF(AND($C26="Milestone",U$7&gt;=$F26,U$7&lt;=$F26+$G26-1),1,""))</f>
        <v/>
      </c>
      <c r="V26" s="71" t="str">
        <f aca="false">IF(AND($C26="Goal",V$7&gt;=$F26,V$7&lt;=$F26+$G26-1),2,IF(AND($C26="Milestone",V$7&gt;=$F26,V$7&lt;=$F26+$G26-1),1,""))</f>
        <v/>
      </c>
      <c r="W26" s="71" t="str">
        <f aca="false">IF(AND($C26="Goal",W$7&gt;=$F26,W$7&lt;=$F26+$G26-1),2,IF(AND($C26="Milestone",W$7&gt;=$F26,W$7&lt;=$F26+$G26-1),1,""))</f>
        <v/>
      </c>
      <c r="X26" s="71" t="str">
        <f aca="false">IF(AND($C26="Goal",X$7&gt;=$F26,X$7&lt;=$F26+$G26-1),2,IF(AND($C26="Milestone",X$7&gt;=$F26,X$7&lt;=$F26+$G26-1),1,""))</f>
        <v/>
      </c>
      <c r="Y26" s="71" t="str">
        <f aca="false">IF(AND($C26="Goal",Y$7&gt;=$F26,Y$7&lt;=$F26+$G26-1),2,IF(AND($C26="Milestone",Y$7&gt;=$F26,Y$7&lt;=$F26+$G26-1),1,""))</f>
        <v/>
      </c>
      <c r="Z26" s="71" t="str">
        <f aca="false">IF(AND($C26="Goal",Z$7&gt;=$F26,Z$7&lt;=$F26+$G26-1),2,IF(AND($C26="Milestone",Z$7&gt;=$F26,Z$7&lt;=$F26+$G26-1),1,""))</f>
        <v/>
      </c>
      <c r="AA26" s="71" t="str">
        <f aca="false">IF(AND($C26="Goal",AA$7&gt;=$F26,AA$7&lt;=$F26+$G26-1),2,IF(AND($C26="Milestone",AA$7&gt;=$F26,AA$7&lt;=$F26+$G26-1),1,""))</f>
        <v/>
      </c>
      <c r="AB26" s="71" t="str">
        <f aca="false">IF(AND($C26="Goal",AB$7&gt;=$F26,AB$7&lt;=$F26+$G26-1),2,IF(AND($C26="Milestone",AB$7&gt;=$F26,AB$7&lt;=$F26+$G26-1),1,""))</f>
        <v/>
      </c>
      <c r="AC26" s="71" t="str">
        <f aca="false">IF(AND($C26="Goal",AC$7&gt;=$F26,AC$7&lt;=$F26+$G26-1),2,IF(AND($C26="Milestone",AC$7&gt;=$F26,AC$7&lt;=$F26+$G26-1),1,""))</f>
        <v/>
      </c>
      <c r="AD26" s="71" t="str">
        <f aca="false">IF(AND($C26="Goal",AD$7&gt;=$F26,AD$7&lt;=$F26+$G26-1),2,IF(AND($C26="Milestone",AD$7&gt;=$F26,AD$7&lt;=$F26+$G26-1),1,""))</f>
        <v/>
      </c>
      <c r="AE26" s="71" t="str">
        <f aca="false">IF(AND($C26="Goal",AE$7&gt;=$F26,AE$7&lt;=$F26+$G26-1),2,IF(AND($C26="Milestone",AE$7&gt;=$F26,AE$7&lt;=$F26+$G26-1),1,""))</f>
        <v/>
      </c>
      <c r="AF26" s="71" t="str">
        <f aca="false">IF(AND($C26="Goal",AF$7&gt;=$F26,AF$7&lt;=$F26+$G26-1),2,IF(AND($C26="Milestone",AF$7&gt;=$F26,AF$7&lt;=$F26+$G26-1),1,""))</f>
        <v/>
      </c>
      <c r="AG26" s="71" t="str">
        <f aca="false">IF(AND($C26="Goal",AG$7&gt;=$F26,AG$7&lt;=$F26+$G26-1),2,IF(AND($C26="Milestone",AG$7&gt;=$F26,AG$7&lt;=$F26+$G26-1),1,""))</f>
        <v/>
      </c>
      <c r="AH26" s="71" t="str">
        <f aca="false">IF(AND($C26="Goal",AH$7&gt;=$F26,AH$7&lt;=$F26+$G26-1),2,IF(AND($C26="Milestone",AH$7&gt;=$F26,AH$7&lt;=$F26+$G26-1),1,""))</f>
        <v/>
      </c>
      <c r="AI26" s="71" t="str">
        <f aca="false">IF(AND($C26="Goal",AI$7&gt;=$F26,AI$7&lt;=$F26+$G26-1),2,IF(AND($C26="Milestone",AI$7&gt;=$F26,AI$7&lt;=$F26+$G26-1),1,""))</f>
        <v/>
      </c>
      <c r="AJ26" s="71" t="str">
        <f aca="false">IF(AND($C26="Goal",AJ$7&gt;=$F26,AJ$7&lt;=$F26+$G26-1),2,IF(AND($C26="Milestone",AJ$7&gt;=$F26,AJ$7&lt;=$F26+$G26-1),1,""))</f>
        <v/>
      </c>
      <c r="AK26" s="71" t="str">
        <f aca="false">IF(AND($C26="Goal",AK$7&gt;=$F26,AK$7&lt;=$F26+$G26-1),2,IF(AND($C26="Milestone",AK$7&gt;=$F26,AK$7&lt;=$F26+$G26-1),1,""))</f>
        <v/>
      </c>
      <c r="AL26" s="71" t="str">
        <f aca="false">IF(AND($C26="Goal",AL$7&gt;=$F26,AL$7&lt;=$F26+$G26-1),2,IF(AND($C26="Milestone",AL$7&gt;=$F26,AL$7&lt;=$F26+$G26-1),1,""))</f>
        <v/>
      </c>
      <c r="AM26" s="71" t="str">
        <f aca="false">IF(AND($C26="Goal",AM$7&gt;=$F26,AM$7&lt;=$F26+$G26-1),2,IF(AND($C26="Milestone",AM$7&gt;=$F26,AM$7&lt;=$F26+$G26-1),1,""))</f>
        <v/>
      </c>
      <c r="AN26" s="71" t="str">
        <f aca="false">IF(AND($C26="Goal",AN$7&gt;=$F26,AN$7&lt;=$F26+$G26-1),2,IF(AND($C26="Milestone",AN$7&gt;=$F26,AN$7&lt;=$F26+$G26-1),1,""))</f>
        <v/>
      </c>
      <c r="AO26" s="71" t="str">
        <f aca="false">IF(AND($C26="Goal",AO$7&gt;=$F26,AO$7&lt;=$F26+$G26-1),2,IF(AND($C26="Milestone",AO$7&gt;=$F26,AO$7&lt;=$F26+$G26-1),1,""))</f>
        <v/>
      </c>
      <c r="AP26" s="71" t="str">
        <f aca="false">IF(AND($C26="Goal",AP$7&gt;=$F26,AP$7&lt;=$F26+$G26-1),2,IF(AND($C26="Milestone",AP$7&gt;=$F26,AP$7&lt;=$F26+$G26-1),1,""))</f>
        <v/>
      </c>
      <c r="AQ26" s="71" t="str">
        <f aca="false">IF(AND($C26="Goal",AQ$7&gt;=$F26,AQ$7&lt;=$F26+$G26-1),2,IF(AND($C26="Milestone",AQ$7&gt;=$F26,AQ$7&lt;=$F26+$G26-1),1,""))</f>
        <v/>
      </c>
      <c r="AR26" s="71" t="str">
        <f aca="false">IF(AND($C26="Goal",AR$7&gt;=$F26,AR$7&lt;=$F26+$G26-1),2,IF(AND($C26="Milestone",AR$7&gt;=$F26,AR$7&lt;=$F26+$G26-1),1,""))</f>
        <v/>
      </c>
      <c r="AS26" s="71" t="str">
        <f aca="false">IF(AND($C26="Goal",AS$7&gt;=$F26,AS$7&lt;=$F26+$G26-1),2,IF(AND($C26="Milestone",AS$7&gt;=$F26,AS$7&lt;=$F26+$G26-1),1,""))</f>
        <v/>
      </c>
      <c r="AT26" s="71" t="str">
        <f aca="false">IF(AND($C26="Goal",AT$7&gt;=$F26,AT$7&lt;=$F26+$G26-1),2,IF(AND($C26="Milestone",AT$7&gt;=$F26,AT$7&lt;=$F26+$G26-1),1,""))</f>
        <v/>
      </c>
      <c r="AU26" s="71" t="str">
        <f aca="false">IF(AND($C26="Goal",AU$7&gt;=$F26,AU$7&lt;=$F26+$G26-1),2,IF(AND($C26="Milestone",AU$7&gt;=$F26,AU$7&lt;=$F26+$G26-1),1,""))</f>
        <v/>
      </c>
      <c r="AV26" s="71" t="str">
        <f aca="false">IF(AND($C26="Goal",AV$7&gt;=$F26,AV$7&lt;=$F26+$G26-1),2,IF(AND($C26="Milestone",AV$7&gt;=$F26,AV$7&lt;=$F26+$G26-1),1,""))</f>
        <v/>
      </c>
      <c r="AW26" s="71" t="str">
        <f aca="false">IF(AND($C26="Goal",AW$7&gt;=$F26,AW$7&lt;=$F26+$G26-1),2,IF(AND($C26="Milestone",AW$7&gt;=$F26,AW$7&lt;=$F26+$G26-1),1,""))</f>
        <v/>
      </c>
      <c r="AX26" s="71" t="str">
        <f aca="false">IF(AND($C26="Goal",AX$7&gt;=$F26,AX$7&lt;=$F26+$G26-1),2,IF(AND($C26="Milestone",AX$7&gt;=$F26,AX$7&lt;=$F26+$G26-1),1,""))</f>
        <v/>
      </c>
      <c r="AY26" s="71" t="str">
        <f aca="false">IF(AND($C26="Goal",AY$7&gt;=$F26,AY$7&lt;=$F26+$G26-1),2,IF(AND($C26="Milestone",AY$7&gt;=$F26,AY$7&lt;=$F26+$G26-1),1,""))</f>
        <v/>
      </c>
      <c r="AZ26" s="71" t="str">
        <f aca="false">IF(AND($C26="Goal",AZ$7&gt;=$F26,AZ$7&lt;=$F26+$G26-1),2,IF(AND($C26="Milestone",AZ$7&gt;=$F26,AZ$7&lt;=$F26+$G26-1),1,""))</f>
        <v/>
      </c>
      <c r="BA26" s="71" t="str">
        <f aca="false">IF(AND($C26="Goal",BA$7&gt;=$F26,BA$7&lt;=$F26+$G26-1),2,IF(AND($C26="Milestone",BA$7&gt;=$F26,BA$7&lt;=$F26+$G26-1),1,""))</f>
        <v/>
      </c>
      <c r="BB26" s="71" t="str">
        <f aca="false">IF(AND($C26="Goal",BB$7&gt;=$F26,BB$7&lt;=$F26+$G26-1),2,IF(AND($C26="Milestone",BB$7&gt;=$F26,BB$7&lt;=$F26+$G26-1),1,""))</f>
        <v/>
      </c>
      <c r="BC26" s="71" t="str">
        <f aca="false">IF(AND($C26="Goal",BC$7&gt;=$F26,BC$7&lt;=$F26+$G26-1),2,IF(AND($C26="Milestone",BC$7&gt;=$F26,BC$7&lt;=$F26+$G26-1),1,""))</f>
        <v/>
      </c>
      <c r="BD26" s="71" t="str">
        <f aca="false">IF(AND($C26="Goal",BD$7&gt;=$F26,BD$7&lt;=$F26+$G26-1),2,IF(AND($C26="Milestone",BD$7&gt;=$F26,BD$7&lt;=$F26+$G26-1),1,""))</f>
        <v/>
      </c>
      <c r="BE26" s="71" t="str">
        <f aca="false">IF(AND($C26="Goal",BE$7&gt;=$F26,BE$7&lt;=$F26+$G26-1),2,IF(AND($C26="Milestone",BE$7&gt;=$F26,BE$7&lt;=$F26+$G26-1),1,""))</f>
        <v/>
      </c>
      <c r="BF26" s="71" t="str">
        <f aca="false">IF(AND($C26="Goal",BF$7&gt;=$F26,BF$7&lt;=$F26+$G26-1),2,IF(AND($C26="Milestone",BF$7&gt;=$F26,BF$7&lt;=$F26+$G26-1),1,""))</f>
        <v/>
      </c>
      <c r="BG26" s="71" t="str">
        <f aca="false">IF(AND($C26="Goal",BG$7&gt;=$F26,BG$7&lt;=$F26+$G26-1),2,IF(AND($C26="Milestone",BG$7&gt;=$F26,BG$7&lt;=$F26+$G26-1),1,""))</f>
        <v/>
      </c>
      <c r="BH26" s="71" t="str">
        <f aca="false">IF(AND($C26="Goal",BH$7&gt;=$F26,BH$7&lt;=$F26+$G26-1),2,IF(AND($C26="Milestone",BH$7&gt;=$F26,BH$7&lt;=$F26+$G26-1),1,""))</f>
        <v/>
      </c>
      <c r="BI26" s="71" t="str">
        <f aca="false">IF(AND($C26="Goal",BI$7&gt;=$F26,BI$7&lt;=$F26+$G26-1),2,IF(AND($C26="Milestone",BI$7&gt;=$F26,BI$7&lt;=$F26+$G26-1),1,""))</f>
        <v/>
      </c>
      <c r="BJ26" s="71" t="str">
        <f aca="false">IF(AND($C26="Goal",BJ$7&gt;=$F26,BJ$7&lt;=$F26+$G26-1),2,IF(AND($C26="Milestone",BJ$7&gt;=$F26,BJ$7&lt;=$F26+$G26-1),1,""))</f>
        <v/>
      </c>
      <c r="BK26" s="71" t="str">
        <f aca="false">IF(AND($C26="Goal",BK$7&gt;=$F26,BK$7&lt;=$F26+$G26-1),2,IF(AND($C26="Milestone",BK$7&gt;=$F26,BK$7&lt;=$F26+$G26-1),1,""))</f>
        <v/>
      </c>
      <c r="BL26" s="71" t="str">
        <f aca="false">IF(AND($C26="Goal",BL$7&gt;=$F26,BL$7&lt;=$F26+$G26-1),2,IF(AND($C26="Milestone",BL$7&gt;=$F26,BL$7&lt;=$F26+$G26-1),1,""))</f>
        <v/>
      </c>
    </row>
    <row r="27" s="25" customFormat="true" ht="39.75" hidden="false" customHeight="true" outlineLevel="0" collapsed="false">
      <c r="A27" s="13"/>
      <c r="B27" s="101" t="s">
        <v>87</v>
      </c>
      <c r="C27" s="67" t="s">
        <v>82</v>
      </c>
      <c r="D27" s="67"/>
      <c r="E27" s="68"/>
      <c r="F27" s="69" t="n">
        <f aca="false">F21+22</f>
        <v>46002</v>
      </c>
      <c r="G27" s="70" t="n">
        <v>3</v>
      </c>
      <c r="H27" s="67"/>
      <c r="I27" s="71" t="str">
        <f aca="false">IF(AND($C27="Goal",I$7&gt;=$F27,I$7&lt;=$F27+$G27-1),2,IF(AND($C27="Milestone",I$7&gt;=$F27,I$7&lt;=$F27+$G27-1),1,""))</f>
        <v/>
      </c>
      <c r="J27" s="71" t="str">
        <f aca="false">IF(AND($C27="Goal",J$7&gt;=$F27,J$7&lt;=$F27+$G27-1),2,IF(AND($C27="Milestone",J$7&gt;=$F27,J$7&lt;=$F27+$G27-1),1,""))</f>
        <v/>
      </c>
      <c r="K27" s="71" t="str">
        <f aca="false">IF(AND($C27="Goal",K$7&gt;=$F27,K$7&lt;=$F27+$G27-1),2,IF(AND($C27="Milestone",K$7&gt;=$F27,K$7&lt;=$F27+$G27-1),1,""))</f>
        <v/>
      </c>
      <c r="L27" s="71" t="str">
        <f aca="false">IF(AND($C27="Goal",L$7&gt;=$F27,L$7&lt;=$F27+$G27-1),2,IF(AND($C27="Milestone",L$7&gt;=$F27,L$7&lt;=$F27+$G27-1),1,""))</f>
        <v/>
      </c>
      <c r="M27" s="71" t="str">
        <f aca="false">IF(AND($C27="Goal",M$7&gt;=$F27,M$7&lt;=$F27+$G27-1),2,IF(AND($C27="Milestone",M$7&gt;=$F27,M$7&lt;=$F27+$G27-1),1,""))</f>
        <v/>
      </c>
      <c r="N27" s="71" t="str">
        <f aca="false">IF(AND($C27="Goal",N$7&gt;=$F27,N$7&lt;=$F27+$G27-1),2,IF(AND($C27="Milestone",N$7&gt;=$F27,N$7&lt;=$F27+$G27-1),1,""))</f>
        <v/>
      </c>
      <c r="O27" s="71" t="str">
        <f aca="false">IF(AND($C27="Goal",O$7&gt;=$F27,O$7&lt;=$F27+$G27-1),2,IF(AND($C27="Milestone",O$7&gt;=$F27,O$7&lt;=$F27+$G27-1),1,""))</f>
        <v/>
      </c>
      <c r="P27" s="71" t="str">
        <f aca="false">IF(AND($C27="Goal",P$7&gt;=$F27,P$7&lt;=$F27+$G27-1),2,IF(AND($C27="Milestone",P$7&gt;=$F27,P$7&lt;=$F27+$G27-1),1,""))</f>
        <v/>
      </c>
      <c r="Q27" s="71" t="str">
        <f aca="false">IF(AND($C27="Goal",Q$7&gt;=$F27,Q$7&lt;=$F27+$G27-1),2,IF(AND($C27="Milestone",Q$7&gt;=$F27,Q$7&lt;=$F27+$G27-1),1,""))</f>
        <v/>
      </c>
      <c r="R27" s="71" t="str">
        <f aca="false">IF(AND($C27="Goal",R$7&gt;=$F27,R$7&lt;=$F27+$G27-1),2,IF(AND($C27="Milestone",R$7&gt;=$F27,R$7&lt;=$F27+$G27-1),1,""))</f>
        <v/>
      </c>
      <c r="S27" s="71" t="str">
        <f aca="false">IF(AND($C27="Goal",S$7&gt;=$F27,S$7&lt;=$F27+$G27-1),2,IF(AND($C27="Milestone",S$7&gt;=$F27,S$7&lt;=$F27+$G27-1),1,""))</f>
        <v/>
      </c>
      <c r="T27" s="71" t="str">
        <f aca="false">IF(AND($C27="Goal",T$7&gt;=$F27,T$7&lt;=$F27+$G27-1),2,IF(AND($C27="Milestone",T$7&gt;=$F27,T$7&lt;=$F27+$G27-1),1,""))</f>
        <v/>
      </c>
      <c r="U27" s="71" t="str">
        <f aca="false">IF(AND($C27="Goal",U$7&gt;=$F27,U$7&lt;=$F27+$G27-1),2,IF(AND($C27="Milestone",U$7&gt;=$F27,U$7&lt;=$F27+$G27-1),1,""))</f>
        <v/>
      </c>
      <c r="V27" s="71" t="str">
        <f aca="false">IF(AND($C27="Goal",V$7&gt;=$F27,V$7&lt;=$F27+$G27-1),2,IF(AND($C27="Milestone",V$7&gt;=$F27,V$7&lt;=$F27+$G27-1),1,""))</f>
        <v/>
      </c>
      <c r="W27" s="71" t="str">
        <f aca="false">IF(AND($C27="Goal",W$7&gt;=$F27,W$7&lt;=$F27+$G27-1),2,IF(AND($C27="Milestone",W$7&gt;=$F27,W$7&lt;=$F27+$G27-1),1,""))</f>
        <v/>
      </c>
      <c r="X27" s="71" t="str">
        <f aca="false">IF(AND($C27="Goal",X$7&gt;=$F27,X$7&lt;=$F27+$G27-1),2,IF(AND($C27="Milestone",X$7&gt;=$F27,X$7&lt;=$F27+$G27-1),1,""))</f>
        <v/>
      </c>
      <c r="Y27" s="71" t="str">
        <f aca="false">IF(AND($C27="Goal",Y$7&gt;=$F27,Y$7&lt;=$F27+$G27-1),2,IF(AND($C27="Milestone",Y$7&gt;=$F27,Y$7&lt;=$F27+$G27-1),1,""))</f>
        <v/>
      </c>
      <c r="Z27" s="71" t="str">
        <f aca="false">IF(AND($C27="Goal",Z$7&gt;=$F27,Z$7&lt;=$F27+$G27-1),2,IF(AND($C27="Milestone",Z$7&gt;=$F27,Z$7&lt;=$F27+$G27-1),1,""))</f>
        <v/>
      </c>
      <c r="AA27" s="71" t="str">
        <f aca="false">IF(AND($C27="Goal",AA$7&gt;=$F27,AA$7&lt;=$F27+$G27-1),2,IF(AND($C27="Milestone",AA$7&gt;=$F27,AA$7&lt;=$F27+$G27-1),1,""))</f>
        <v/>
      </c>
      <c r="AB27" s="71" t="str">
        <f aca="false">IF(AND($C27="Goal",AB$7&gt;=$F27,AB$7&lt;=$F27+$G27-1),2,IF(AND($C27="Milestone",AB$7&gt;=$F27,AB$7&lt;=$F27+$G27-1),1,""))</f>
        <v/>
      </c>
      <c r="AC27" s="71" t="str">
        <f aca="false">IF(AND($C27="Goal",AC$7&gt;=$F27,AC$7&lt;=$F27+$G27-1),2,IF(AND($C27="Milestone",AC$7&gt;=$F27,AC$7&lt;=$F27+$G27-1),1,""))</f>
        <v/>
      </c>
      <c r="AD27" s="71" t="str">
        <f aca="false">IF(AND($C27="Goal",AD$7&gt;=$F27,AD$7&lt;=$F27+$G27-1),2,IF(AND($C27="Milestone",AD$7&gt;=$F27,AD$7&lt;=$F27+$G27-1),1,""))</f>
        <v/>
      </c>
      <c r="AE27" s="71" t="str">
        <f aca="false">IF(AND($C27="Goal",AE$7&gt;=$F27,AE$7&lt;=$F27+$G27-1),2,IF(AND($C27="Milestone",AE$7&gt;=$F27,AE$7&lt;=$F27+$G27-1),1,""))</f>
        <v/>
      </c>
      <c r="AF27" s="71" t="str">
        <f aca="false">IF(AND($C27="Goal",AF$7&gt;=$F27,AF$7&lt;=$F27+$G27-1),2,IF(AND($C27="Milestone",AF$7&gt;=$F27,AF$7&lt;=$F27+$G27-1),1,""))</f>
        <v/>
      </c>
      <c r="AG27" s="71" t="str">
        <f aca="false">IF(AND($C27="Goal",AG$7&gt;=$F27,AG$7&lt;=$F27+$G27-1),2,IF(AND($C27="Milestone",AG$7&gt;=$F27,AG$7&lt;=$F27+$G27-1),1,""))</f>
        <v/>
      </c>
      <c r="AH27" s="71" t="str">
        <f aca="false">IF(AND($C27="Goal",AH$7&gt;=$F27,AH$7&lt;=$F27+$G27-1),2,IF(AND($C27="Milestone",AH$7&gt;=$F27,AH$7&lt;=$F27+$G27-1),1,""))</f>
        <v/>
      </c>
      <c r="AI27" s="71" t="str">
        <f aca="false">IF(AND($C27="Goal",AI$7&gt;=$F27,AI$7&lt;=$F27+$G27-1),2,IF(AND($C27="Milestone",AI$7&gt;=$F27,AI$7&lt;=$F27+$G27-1),1,""))</f>
        <v/>
      </c>
      <c r="AJ27" s="71" t="str">
        <f aca="false">IF(AND($C27="Goal",AJ$7&gt;=$F27,AJ$7&lt;=$F27+$G27-1),2,IF(AND($C27="Milestone",AJ$7&gt;=$F27,AJ$7&lt;=$F27+$G27-1),1,""))</f>
        <v/>
      </c>
      <c r="AK27" s="71" t="str">
        <f aca="false">IF(AND($C27="Goal",AK$7&gt;=$F27,AK$7&lt;=$F27+$G27-1),2,IF(AND($C27="Milestone",AK$7&gt;=$F27,AK$7&lt;=$F27+$G27-1),1,""))</f>
        <v/>
      </c>
      <c r="AL27" s="71" t="str">
        <f aca="false">IF(AND($C27="Goal",AL$7&gt;=$F27,AL$7&lt;=$F27+$G27-1),2,IF(AND($C27="Milestone",AL$7&gt;=$F27,AL$7&lt;=$F27+$G27-1),1,""))</f>
        <v/>
      </c>
      <c r="AM27" s="71" t="str">
        <f aca="false">IF(AND($C27="Goal",AM$7&gt;=$F27,AM$7&lt;=$F27+$G27-1),2,IF(AND($C27="Milestone",AM$7&gt;=$F27,AM$7&lt;=$F27+$G27-1),1,""))</f>
        <v/>
      </c>
      <c r="AN27" s="71" t="str">
        <f aca="false">IF(AND($C27="Goal",AN$7&gt;=$F27,AN$7&lt;=$F27+$G27-1),2,IF(AND($C27="Milestone",AN$7&gt;=$F27,AN$7&lt;=$F27+$G27-1),1,""))</f>
        <v/>
      </c>
      <c r="AO27" s="71" t="str">
        <f aca="false">IF(AND($C27="Goal",AO$7&gt;=$F27,AO$7&lt;=$F27+$G27-1),2,IF(AND($C27="Milestone",AO$7&gt;=$F27,AO$7&lt;=$F27+$G27-1),1,""))</f>
        <v/>
      </c>
      <c r="AP27" s="71" t="str">
        <f aca="false">IF(AND($C27="Goal",AP$7&gt;=$F27,AP$7&lt;=$F27+$G27-1),2,IF(AND($C27="Milestone",AP$7&gt;=$F27,AP$7&lt;=$F27+$G27-1),1,""))</f>
        <v/>
      </c>
      <c r="AQ27" s="71" t="str">
        <f aca="false">IF(AND($C27="Goal",AQ$7&gt;=$F27,AQ$7&lt;=$F27+$G27-1),2,IF(AND($C27="Milestone",AQ$7&gt;=$F27,AQ$7&lt;=$F27+$G27-1),1,""))</f>
        <v/>
      </c>
      <c r="AR27" s="71" t="str">
        <f aca="false">IF(AND($C27="Goal",AR$7&gt;=$F27,AR$7&lt;=$F27+$G27-1),2,IF(AND($C27="Milestone",AR$7&gt;=$F27,AR$7&lt;=$F27+$G27-1),1,""))</f>
        <v/>
      </c>
      <c r="AS27" s="71" t="str">
        <f aca="false">IF(AND($C27="Goal",AS$7&gt;=$F27,AS$7&lt;=$F27+$G27-1),2,IF(AND($C27="Milestone",AS$7&gt;=$F27,AS$7&lt;=$F27+$G27-1),1,""))</f>
        <v/>
      </c>
      <c r="AT27" s="71" t="n">
        <f aca="false">IF(AND($C27="Goal",AT$7&gt;=$F27,AT$7&lt;=$F27+$G27-1),2,IF(AND($C27="Milestone",AT$7&gt;=$F27,AT$7&lt;=$F27+$G27-1),1,""))</f>
        <v>2</v>
      </c>
      <c r="AU27" s="71" t="n">
        <f aca="false">IF(AND($C27="Goal",AU$7&gt;=$F27,AU$7&lt;=$F27+$G27-1),2,IF(AND($C27="Milestone",AU$7&gt;=$F27,AU$7&lt;=$F27+$G27-1),1,""))</f>
        <v>2</v>
      </c>
      <c r="AV27" s="71" t="n">
        <f aca="false">IF(AND($C27="Goal",AV$7&gt;=$F27,AV$7&lt;=$F27+$G27-1),2,IF(AND($C27="Milestone",AV$7&gt;=$F27,AV$7&lt;=$F27+$G27-1),1,""))</f>
        <v>2</v>
      </c>
      <c r="AW27" s="71" t="str">
        <f aca="false">IF(AND($C27="Goal",AW$7&gt;=$F27,AW$7&lt;=$F27+$G27-1),2,IF(AND($C27="Milestone",AW$7&gt;=$F27,AW$7&lt;=$F27+$G27-1),1,""))</f>
        <v/>
      </c>
      <c r="AX27" s="71" t="str">
        <f aca="false">IF(AND($C27="Goal",AX$7&gt;=$F27,AX$7&lt;=$F27+$G27-1),2,IF(AND($C27="Milestone",AX$7&gt;=$F27,AX$7&lt;=$F27+$G27-1),1,""))</f>
        <v/>
      </c>
      <c r="AY27" s="71" t="str">
        <f aca="false">IF(AND($C27="Goal",AY$7&gt;=$F27,AY$7&lt;=$F27+$G27-1),2,IF(AND($C27="Milestone",AY$7&gt;=$F27,AY$7&lt;=$F27+$G27-1),1,""))</f>
        <v/>
      </c>
      <c r="AZ27" s="71" t="str">
        <f aca="false">IF(AND($C27="Goal",AZ$7&gt;=$F27,AZ$7&lt;=$F27+$G27-1),2,IF(AND($C27="Milestone",AZ$7&gt;=$F27,AZ$7&lt;=$F27+$G27-1),1,""))</f>
        <v/>
      </c>
      <c r="BA27" s="71" t="str">
        <f aca="false">IF(AND($C27="Goal",BA$7&gt;=$F27,BA$7&lt;=$F27+$G27-1),2,IF(AND($C27="Milestone",BA$7&gt;=$F27,BA$7&lt;=$F27+$G27-1),1,""))</f>
        <v/>
      </c>
      <c r="BB27" s="71" t="str">
        <f aca="false">IF(AND($C27="Goal",BB$7&gt;=$F27,BB$7&lt;=$F27+$G27-1),2,IF(AND($C27="Milestone",BB$7&gt;=$F27,BB$7&lt;=$F27+$G27-1),1,""))</f>
        <v/>
      </c>
      <c r="BC27" s="71" t="str">
        <f aca="false">IF(AND($C27="Goal",BC$7&gt;=$F27,BC$7&lt;=$F27+$G27-1),2,IF(AND($C27="Milestone",BC$7&gt;=$F27,BC$7&lt;=$F27+$G27-1),1,""))</f>
        <v/>
      </c>
      <c r="BD27" s="71" t="str">
        <f aca="false">IF(AND($C27="Goal",BD$7&gt;=$F27,BD$7&lt;=$F27+$G27-1),2,IF(AND($C27="Milestone",BD$7&gt;=$F27,BD$7&lt;=$F27+$G27-1),1,""))</f>
        <v/>
      </c>
      <c r="BE27" s="71" t="str">
        <f aca="false">IF(AND($C27="Goal",BE$7&gt;=$F27,BE$7&lt;=$F27+$G27-1),2,IF(AND($C27="Milestone",BE$7&gt;=$F27,BE$7&lt;=$F27+$G27-1),1,""))</f>
        <v/>
      </c>
      <c r="BF27" s="71" t="str">
        <f aca="false">IF(AND($C27="Goal",BF$7&gt;=$F27,BF$7&lt;=$F27+$G27-1),2,IF(AND($C27="Milestone",BF$7&gt;=$F27,BF$7&lt;=$F27+$G27-1),1,""))</f>
        <v/>
      </c>
      <c r="BG27" s="71" t="str">
        <f aca="false">IF(AND($C27="Goal",BG$7&gt;=$F27,BG$7&lt;=$F27+$G27-1),2,IF(AND($C27="Milestone",BG$7&gt;=$F27,BG$7&lt;=$F27+$G27-1),1,""))</f>
        <v/>
      </c>
      <c r="BH27" s="71" t="str">
        <f aca="false">IF(AND($C27="Goal",BH$7&gt;=$F27,BH$7&lt;=$F27+$G27-1),2,IF(AND($C27="Milestone",BH$7&gt;=$F27,BH$7&lt;=$F27+$G27-1),1,""))</f>
        <v/>
      </c>
      <c r="BI27" s="71" t="str">
        <f aca="false">IF(AND($C27="Goal",BI$7&gt;=$F27,BI$7&lt;=$F27+$G27-1),2,IF(AND($C27="Milestone",BI$7&gt;=$F27,BI$7&lt;=$F27+$G27-1),1,""))</f>
        <v/>
      </c>
      <c r="BJ27" s="71" t="str">
        <f aca="false">IF(AND($C27="Goal",BJ$7&gt;=$F27,BJ$7&lt;=$F27+$G27-1),2,IF(AND($C27="Milestone",BJ$7&gt;=$F27,BJ$7&lt;=$F27+$G27-1),1,""))</f>
        <v/>
      </c>
      <c r="BK27" s="71" t="str">
        <f aca="false">IF(AND($C27="Goal",BK$7&gt;=$F27,BK$7&lt;=$F27+$G27-1),2,IF(AND($C27="Milestone",BK$7&gt;=$F27,BK$7&lt;=$F27+$G27-1),1,""))</f>
        <v/>
      </c>
      <c r="BL27" s="71" t="str">
        <f aca="false">IF(AND($C27="Goal",BL$7&gt;=$F27,BL$7&lt;=$F27+$G27-1),2,IF(AND($C27="Milestone",BL$7&gt;=$F27,BL$7&lt;=$F27+$G27-1),1,""))</f>
        <v/>
      </c>
    </row>
    <row r="28" s="25" customFormat="true" ht="39.75" hidden="false" customHeight="true" outlineLevel="0" collapsed="false">
      <c r="A28" s="13"/>
      <c r="B28" s="101" t="s">
        <v>88</v>
      </c>
      <c r="C28" s="67" t="s">
        <v>23</v>
      </c>
      <c r="D28" s="67"/>
      <c r="E28" s="68"/>
      <c r="F28" s="69" t="n">
        <f aca="false">F16</f>
        <v>45971</v>
      </c>
      <c r="G28" s="70" t="n">
        <v>19</v>
      </c>
      <c r="H28" s="67"/>
      <c r="I28" s="71" t="str">
        <f aca="false">IF(AND($C28="Goal",I$7&gt;=$F28,I$7&lt;=$F28+$G28-1),2,IF(AND($C28="Milestone",I$7&gt;=$F28,I$7&lt;=$F28+$G28-1),1,""))</f>
        <v/>
      </c>
      <c r="J28" s="71" t="str">
        <f aca="false">IF(AND($C28="Goal",J$7&gt;=$F28,J$7&lt;=$F28+$G28-1),2,IF(AND($C28="Milestone",J$7&gt;=$F28,J$7&lt;=$F28+$G28-1),1,""))</f>
        <v/>
      </c>
      <c r="K28" s="71" t="str">
        <f aca="false">IF(AND($C28="Goal",K$7&gt;=$F28,K$7&lt;=$F28+$G28-1),2,IF(AND($C28="Milestone",K$7&gt;=$F28,K$7&lt;=$F28+$G28-1),1,""))</f>
        <v/>
      </c>
      <c r="L28" s="71" t="str">
        <f aca="false">IF(AND($C28="Goal",L$7&gt;=$F28,L$7&lt;=$F28+$G28-1),2,IF(AND($C28="Milestone",L$7&gt;=$F28,L$7&lt;=$F28+$G28-1),1,""))</f>
        <v/>
      </c>
      <c r="M28" s="71" t="str">
        <f aca="false">IF(AND($C28="Goal",M$7&gt;=$F28,M$7&lt;=$F28+$G28-1),2,IF(AND($C28="Milestone",M$7&gt;=$F28,M$7&lt;=$F28+$G28-1),1,""))</f>
        <v/>
      </c>
      <c r="N28" s="71" t="str">
        <f aca="false">IF(AND($C28="Goal",N$7&gt;=$F28,N$7&lt;=$F28+$G28-1),2,IF(AND($C28="Milestone",N$7&gt;=$F28,N$7&lt;=$F28+$G28-1),1,""))</f>
        <v/>
      </c>
      <c r="O28" s="71" t="str">
        <f aca="false">IF(AND($C28="Goal",O$7&gt;=$F28,O$7&lt;=$F28+$G28-1),2,IF(AND($C28="Milestone",O$7&gt;=$F28,O$7&lt;=$F28+$G28-1),1,""))</f>
        <v/>
      </c>
      <c r="P28" s="71" t="str">
        <f aca="false">IF(AND($C28="Goal",P$7&gt;=$F28,P$7&lt;=$F28+$G28-1),2,IF(AND($C28="Milestone",P$7&gt;=$F28,P$7&lt;=$F28+$G28-1),1,""))</f>
        <v/>
      </c>
      <c r="Q28" s="71" t="str">
        <f aca="false">IF(AND($C28="Goal",Q$7&gt;=$F28,Q$7&lt;=$F28+$G28-1),2,IF(AND($C28="Milestone",Q$7&gt;=$F28,Q$7&lt;=$F28+$G28-1),1,""))</f>
        <v/>
      </c>
      <c r="R28" s="71" t="str">
        <f aca="false">IF(AND($C28="Goal",R$7&gt;=$F28,R$7&lt;=$F28+$G28-1),2,IF(AND($C28="Milestone",R$7&gt;=$F28,R$7&lt;=$F28+$G28-1),1,""))</f>
        <v/>
      </c>
      <c r="S28" s="71" t="str">
        <f aca="false">IF(AND($C28="Goal",S$7&gt;=$F28,S$7&lt;=$F28+$G28-1),2,IF(AND($C28="Milestone",S$7&gt;=$F28,S$7&lt;=$F28+$G28-1),1,""))</f>
        <v/>
      </c>
      <c r="T28" s="71" t="str">
        <f aca="false">IF(AND($C28="Goal",T$7&gt;=$F28,T$7&lt;=$F28+$G28-1),2,IF(AND($C28="Milestone",T$7&gt;=$F28,T$7&lt;=$F28+$G28-1),1,""))</f>
        <v/>
      </c>
      <c r="U28" s="71" t="str">
        <f aca="false">IF(AND($C28="Goal",U$7&gt;=$F28,U$7&lt;=$F28+$G28-1),2,IF(AND($C28="Milestone",U$7&gt;=$F28,U$7&lt;=$F28+$G28-1),1,""))</f>
        <v/>
      </c>
      <c r="V28" s="71" t="str">
        <f aca="false">IF(AND($C28="Goal",V$7&gt;=$F28,V$7&lt;=$F28+$G28-1),2,IF(AND($C28="Milestone",V$7&gt;=$F28,V$7&lt;=$F28+$G28-1),1,""))</f>
        <v/>
      </c>
      <c r="W28" s="71" t="str">
        <f aca="false">IF(AND($C28="Goal",W$7&gt;=$F28,W$7&lt;=$F28+$G28-1),2,IF(AND($C28="Milestone",W$7&gt;=$F28,W$7&lt;=$F28+$G28-1),1,""))</f>
        <v/>
      </c>
      <c r="X28" s="71" t="str">
        <f aca="false">IF(AND($C28="Goal",X$7&gt;=$F28,X$7&lt;=$F28+$G28-1),2,IF(AND($C28="Milestone",X$7&gt;=$F28,X$7&lt;=$F28+$G28-1),1,""))</f>
        <v/>
      </c>
      <c r="Y28" s="71" t="str">
        <f aca="false">IF(AND($C28="Goal",Y$7&gt;=$F28,Y$7&lt;=$F28+$G28-1),2,IF(AND($C28="Milestone",Y$7&gt;=$F28,Y$7&lt;=$F28+$G28-1),1,""))</f>
        <v/>
      </c>
      <c r="Z28" s="71" t="str">
        <f aca="false">IF(AND($C28="Goal",Z$7&gt;=$F28,Z$7&lt;=$F28+$G28-1),2,IF(AND($C28="Milestone",Z$7&gt;=$F28,Z$7&lt;=$F28+$G28-1),1,""))</f>
        <v/>
      </c>
      <c r="AA28" s="71" t="str">
        <f aca="false">IF(AND($C28="Goal",AA$7&gt;=$F28,AA$7&lt;=$F28+$G28-1),2,IF(AND($C28="Milestone",AA$7&gt;=$F28,AA$7&lt;=$F28+$G28-1),1,""))</f>
        <v/>
      </c>
      <c r="AB28" s="71" t="str">
        <f aca="false">IF(AND($C28="Goal",AB$7&gt;=$F28,AB$7&lt;=$F28+$G28-1),2,IF(AND($C28="Milestone",AB$7&gt;=$F28,AB$7&lt;=$F28+$G28-1),1,""))</f>
        <v/>
      </c>
      <c r="AC28" s="71" t="str">
        <f aca="false">IF(AND($C28="Goal",AC$7&gt;=$F28,AC$7&lt;=$F28+$G28-1),2,IF(AND($C28="Milestone",AC$7&gt;=$F28,AC$7&lt;=$F28+$G28-1),1,""))</f>
        <v/>
      </c>
      <c r="AD28" s="71" t="str">
        <f aca="false">IF(AND($C28="Goal",AD$7&gt;=$F28,AD$7&lt;=$F28+$G28-1),2,IF(AND($C28="Milestone",AD$7&gt;=$F28,AD$7&lt;=$F28+$G28-1),1,""))</f>
        <v/>
      </c>
      <c r="AE28" s="71" t="str">
        <f aca="false">IF(AND($C28="Goal",AE$7&gt;=$F28,AE$7&lt;=$F28+$G28-1),2,IF(AND($C28="Milestone",AE$7&gt;=$F28,AE$7&lt;=$F28+$G28-1),1,""))</f>
        <v/>
      </c>
      <c r="AF28" s="71" t="str">
        <f aca="false">IF(AND($C28="Goal",AF$7&gt;=$F28,AF$7&lt;=$F28+$G28-1),2,IF(AND($C28="Milestone",AF$7&gt;=$F28,AF$7&lt;=$F28+$G28-1),1,""))</f>
        <v/>
      </c>
      <c r="AG28" s="71" t="str">
        <f aca="false">IF(AND($C28="Goal",AG$7&gt;=$F28,AG$7&lt;=$F28+$G28-1),2,IF(AND($C28="Milestone",AG$7&gt;=$F28,AG$7&lt;=$F28+$G28-1),1,""))</f>
        <v/>
      </c>
      <c r="AH28" s="71" t="str">
        <f aca="false">IF(AND($C28="Goal",AH$7&gt;=$F28,AH$7&lt;=$F28+$G28-1),2,IF(AND($C28="Milestone",AH$7&gt;=$F28,AH$7&lt;=$F28+$G28-1),1,""))</f>
        <v/>
      </c>
      <c r="AI28" s="71" t="str">
        <f aca="false">IF(AND($C28="Goal",AI$7&gt;=$F28,AI$7&lt;=$F28+$G28-1),2,IF(AND($C28="Milestone",AI$7&gt;=$F28,AI$7&lt;=$F28+$G28-1),1,""))</f>
        <v/>
      </c>
      <c r="AJ28" s="71" t="str">
        <f aca="false">IF(AND($C28="Goal",AJ$7&gt;=$F28,AJ$7&lt;=$F28+$G28-1),2,IF(AND($C28="Milestone",AJ$7&gt;=$F28,AJ$7&lt;=$F28+$G28-1),1,""))</f>
        <v/>
      </c>
      <c r="AK28" s="71" t="str">
        <f aca="false">IF(AND($C28="Goal",AK$7&gt;=$F28,AK$7&lt;=$F28+$G28-1),2,IF(AND($C28="Milestone",AK$7&gt;=$F28,AK$7&lt;=$F28+$G28-1),1,""))</f>
        <v/>
      </c>
      <c r="AL28" s="71" t="str">
        <f aca="false">IF(AND($C28="Goal",AL$7&gt;=$F28,AL$7&lt;=$F28+$G28-1),2,IF(AND($C28="Milestone",AL$7&gt;=$F28,AL$7&lt;=$F28+$G28-1),1,""))</f>
        <v/>
      </c>
      <c r="AM28" s="71" t="str">
        <f aca="false">IF(AND($C28="Goal",AM$7&gt;=$F28,AM$7&lt;=$F28+$G28-1),2,IF(AND($C28="Milestone",AM$7&gt;=$F28,AM$7&lt;=$F28+$G28-1),1,""))</f>
        <v/>
      </c>
      <c r="AN28" s="71" t="str">
        <f aca="false">IF(AND($C28="Goal",AN$7&gt;=$F28,AN$7&lt;=$F28+$G28-1),2,IF(AND($C28="Milestone",AN$7&gt;=$F28,AN$7&lt;=$F28+$G28-1),1,""))</f>
        <v/>
      </c>
      <c r="AO28" s="71" t="str">
        <f aca="false">IF(AND($C28="Goal",AO$7&gt;=$F28,AO$7&lt;=$F28+$G28-1),2,IF(AND($C28="Milestone",AO$7&gt;=$F28,AO$7&lt;=$F28+$G28-1),1,""))</f>
        <v/>
      </c>
      <c r="AP28" s="71" t="str">
        <f aca="false">IF(AND($C28="Goal",AP$7&gt;=$F28,AP$7&lt;=$F28+$G28-1),2,IF(AND($C28="Milestone",AP$7&gt;=$F28,AP$7&lt;=$F28+$G28-1),1,""))</f>
        <v/>
      </c>
      <c r="AQ28" s="71" t="str">
        <f aca="false">IF(AND($C28="Goal",AQ$7&gt;=$F28,AQ$7&lt;=$F28+$G28-1),2,IF(AND($C28="Milestone",AQ$7&gt;=$F28,AQ$7&lt;=$F28+$G28-1),1,""))</f>
        <v/>
      </c>
      <c r="AR28" s="71" t="str">
        <f aca="false">IF(AND($C28="Goal",AR$7&gt;=$F28,AR$7&lt;=$F28+$G28-1),2,IF(AND($C28="Milestone",AR$7&gt;=$F28,AR$7&lt;=$F28+$G28-1),1,""))</f>
        <v/>
      </c>
      <c r="AS28" s="71" t="str">
        <f aca="false">IF(AND($C28="Goal",AS$7&gt;=$F28,AS$7&lt;=$F28+$G28-1),2,IF(AND($C28="Milestone",AS$7&gt;=$F28,AS$7&lt;=$F28+$G28-1),1,""))</f>
        <v/>
      </c>
      <c r="AT28" s="71" t="str">
        <f aca="false">IF(AND($C28="Goal",AT$7&gt;=$F28,AT$7&lt;=$F28+$G28-1),2,IF(AND($C28="Milestone",AT$7&gt;=$F28,AT$7&lt;=$F28+$G28-1),1,""))</f>
        <v/>
      </c>
      <c r="AU28" s="71" t="str">
        <f aca="false">IF(AND($C28="Goal",AU$7&gt;=$F28,AU$7&lt;=$F28+$G28-1),2,IF(AND($C28="Milestone",AU$7&gt;=$F28,AU$7&lt;=$F28+$G28-1),1,""))</f>
        <v/>
      </c>
      <c r="AV28" s="71" t="str">
        <f aca="false">IF(AND($C28="Goal",AV$7&gt;=$F28,AV$7&lt;=$F28+$G28-1),2,IF(AND($C28="Milestone",AV$7&gt;=$F28,AV$7&lt;=$F28+$G28-1),1,""))</f>
        <v/>
      </c>
      <c r="AW28" s="71" t="str">
        <f aca="false">IF(AND($C28="Goal",AW$7&gt;=$F28,AW$7&lt;=$F28+$G28-1),2,IF(AND($C28="Milestone",AW$7&gt;=$F28,AW$7&lt;=$F28+$G28-1),1,""))</f>
        <v/>
      </c>
      <c r="AX28" s="71" t="str">
        <f aca="false">IF(AND($C28="Goal",AX$7&gt;=$F28,AX$7&lt;=$F28+$G28-1),2,IF(AND($C28="Milestone",AX$7&gt;=$F28,AX$7&lt;=$F28+$G28-1),1,""))</f>
        <v/>
      </c>
      <c r="AY28" s="71" t="str">
        <f aca="false">IF(AND($C28="Goal",AY$7&gt;=$F28,AY$7&lt;=$F28+$G28-1),2,IF(AND($C28="Milestone",AY$7&gt;=$F28,AY$7&lt;=$F28+$G28-1),1,""))</f>
        <v/>
      </c>
      <c r="AZ28" s="71" t="str">
        <f aca="false">IF(AND($C28="Goal",AZ$7&gt;=$F28,AZ$7&lt;=$F28+$G28-1),2,IF(AND($C28="Milestone",AZ$7&gt;=$F28,AZ$7&lt;=$F28+$G28-1),1,""))</f>
        <v/>
      </c>
      <c r="BA28" s="71" t="str">
        <f aca="false">IF(AND($C28="Goal",BA$7&gt;=$F28,BA$7&lt;=$F28+$G28-1),2,IF(AND($C28="Milestone",BA$7&gt;=$F28,BA$7&lt;=$F28+$G28-1),1,""))</f>
        <v/>
      </c>
      <c r="BB28" s="71" t="str">
        <f aca="false">IF(AND($C28="Goal",BB$7&gt;=$F28,BB$7&lt;=$F28+$G28-1),2,IF(AND($C28="Milestone",BB$7&gt;=$F28,BB$7&lt;=$F28+$G28-1),1,""))</f>
        <v/>
      </c>
      <c r="BC28" s="71" t="str">
        <f aca="false">IF(AND($C28="Goal",BC$7&gt;=$F28,BC$7&lt;=$F28+$G28-1),2,IF(AND($C28="Milestone",BC$7&gt;=$F28,BC$7&lt;=$F28+$G28-1),1,""))</f>
        <v/>
      </c>
      <c r="BD28" s="71" t="str">
        <f aca="false">IF(AND($C28="Goal",BD$7&gt;=$F28,BD$7&lt;=$F28+$G28-1),2,IF(AND($C28="Milestone",BD$7&gt;=$F28,BD$7&lt;=$F28+$G28-1),1,""))</f>
        <v/>
      </c>
      <c r="BE28" s="71" t="str">
        <f aca="false">IF(AND($C28="Goal",BE$7&gt;=$F28,BE$7&lt;=$F28+$G28-1),2,IF(AND($C28="Milestone",BE$7&gt;=$F28,BE$7&lt;=$F28+$G28-1),1,""))</f>
        <v/>
      </c>
      <c r="BF28" s="71" t="str">
        <f aca="false">IF(AND($C28="Goal",BF$7&gt;=$F28,BF$7&lt;=$F28+$G28-1),2,IF(AND($C28="Milestone",BF$7&gt;=$F28,BF$7&lt;=$F28+$G28-1),1,""))</f>
        <v/>
      </c>
      <c r="BG28" s="71" t="str">
        <f aca="false">IF(AND($C28="Goal",BG$7&gt;=$F28,BG$7&lt;=$F28+$G28-1),2,IF(AND($C28="Milestone",BG$7&gt;=$F28,BG$7&lt;=$F28+$G28-1),1,""))</f>
        <v/>
      </c>
      <c r="BH28" s="71" t="str">
        <f aca="false">IF(AND($C28="Goal",BH$7&gt;=$F28,BH$7&lt;=$F28+$G28-1),2,IF(AND($C28="Milestone",BH$7&gt;=$F28,BH$7&lt;=$F28+$G28-1),1,""))</f>
        <v/>
      </c>
      <c r="BI28" s="71" t="str">
        <f aca="false">IF(AND($C28="Goal",BI$7&gt;=$F28,BI$7&lt;=$F28+$G28-1),2,IF(AND($C28="Milestone",BI$7&gt;=$F28,BI$7&lt;=$F28+$G28-1),1,""))</f>
        <v/>
      </c>
      <c r="BJ28" s="71" t="str">
        <f aca="false">IF(AND($C28="Goal",BJ$7&gt;=$F28,BJ$7&lt;=$F28+$G28-1),2,IF(AND($C28="Milestone",BJ$7&gt;=$F28,BJ$7&lt;=$F28+$G28-1),1,""))</f>
        <v/>
      </c>
      <c r="BK28" s="71" t="str">
        <f aca="false">IF(AND($C28="Goal",BK$7&gt;=$F28,BK$7&lt;=$F28+$G28-1),2,IF(AND($C28="Milestone",BK$7&gt;=$F28,BK$7&lt;=$F28+$G28-1),1,""))</f>
        <v/>
      </c>
      <c r="BL28" s="71" t="str">
        <f aca="false">IF(AND($C28="Goal",BL$7&gt;=$F28,BL$7&lt;=$F28+$G28-1),2,IF(AND($C28="Milestone",BL$7&gt;=$F28,BL$7&lt;=$F28+$G28-1),1,""))</f>
        <v/>
      </c>
    </row>
    <row r="29" s="25" customFormat="true" ht="39.75" hidden="false" customHeight="true" outlineLevel="0" collapsed="false">
      <c r="A29" s="13"/>
      <c r="B29" s="166" t="s">
        <v>92</v>
      </c>
      <c r="C29" s="67"/>
      <c r="D29" s="67"/>
      <c r="E29" s="68"/>
      <c r="F29" s="69"/>
      <c r="G29" s="70"/>
      <c r="H29" s="67"/>
      <c r="I29" s="71" t="str">
        <f aca="false">IF(AND($C29="Goal",I$7&gt;=$F29,I$7&lt;=$F29+$G29-1),2,IF(AND($C29="Milestone",I$7&gt;=$F29,I$7&lt;=$F29+$G29-1),1,""))</f>
        <v/>
      </c>
      <c r="J29" s="71" t="str">
        <f aca="false">IF(AND($C29="Goal",J$7&gt;=$F29,J$7&lt;=$F29+$G29-1),2,IF(AND($C29="Milestone",J$7&gt;=$F29,J$7&lt;=$F29+$G29-1),1,""))</f>
        <v/>
      </c>
      <c r="K29" s="71" t="str">
        <f aca="false">IF(AND($C29="Goal",K$7&gt;=$F29,K$7&lt;=$F29+$G29-1),2,IF(AND($C29="Milestone",K$7&gt;=$F29,K$7&lt;=$F29+$G29-1),1,""))</f>
        <v/>
      </c>
      <c r="L29" s="71" t="str">
        <f aca="false">IF(AND($C29="Goal",L$7&gt;=$F29,L$7&lt;=$F29+$G29-1),2,IF(AND($C29="Milestone",L$7&gt;=$F29,L$7&lt;=$F29+$G29-1),1,""))</f>
        <v/>
      </c>
      <c r="M29" s="71" t="str">
        <f aca="false">IF(AND($C29="Goal",M$7&gt;=$F29,M$7&lt;=$F29+$G29-1),2,IF(AND($C29="Milestone",M$7&gt;=$F29,M$7&lt;=$F29+$G29-1),1,""))</f>
        <v/>
      </c>
      <c r="N29" s="71" t="str">
        <f aca="false">IF(AND($C29="Goal",N$7&gt;=$F29,N$7&lt;=$F29+$G29-1),2,IF(AND($C29="Milestone",N$7&gt;=$F29,N$7&lt;=$F29+$G29-1),1,""))</f>
        <v/>
      </c>
      <c r="O29" s="71" t="str">
        <f aca="false">IF(AND($C29="Goal",O$7&gt;=$F29,O$7&lt;=$F29+$G29-1),2,IF(AND($C29="Milestone",O$7&gt;=$F29,O$7&lt;=$F29+$G29-1),1,""))</f>
        <v/>
      </c>
      <c r="P29" s="71" t="str">
        <f aca="false">IF(AND($C29="Goal",P$7&gt;=$F29,P$7&lt;=$F29+$G29-1),2,IF(AND($C29="Milestone",P$7&gt;=$F29,P$7&lt;=$F29+$G29-1),1,""))</f>
        <v/>
      </c>
      <c r="Q29" s="71" t="str">
        <f aca="false">IF(AND($C29="Goal",Q$7&gt;=$F29,Q$7&lt;=$F29+$G29-1),2,IF(AND($C29="Milestone",Q$7&gt;=$F29,Q$7&lt;=$F29+$G29-1),1,""))</f>
        <v/>
      </c>
      <c r="R29" s="71" t="str">
        <f aca="false">IF(AND($C29="Goal",R$7&gt;=$F29,R$7&lt;=$F29+$G29-1),2,IF(AND($C29="Milestone",R$7&gt;=$F29,R$7&lt;=$F29+$G29-1),1,""))</f>
        <v/>
      </c>
      <c r="S29" s="71" t="str">
        <f aca="false">IF(AND($C29="Goal",S$7&gt;=$F29,S$7&lt;=$F29+$G29-1),2,IF(AND($C29="Milestone",S$7&gt;=$F29,S$7&lt;=$F29+$G29-1),1,""))</f>
        <v/>
      </c>
      <c r="T29" s="71" t="str">
        <f aca="false">IF(AND($C29="Goal",T$7&gt;=$F29,T$7&lt;=$F29+$G29-1),2,IF(AND($C29="Milestone",T$7&gt;=$F29,T$7&lt;=$F29+$G29-1),1,""))</f>
        <v/>
      </c>
      <c r="U29" s="71" t="str">
        <f aca="false">IF(AND($C29="Goal",U$7&gt;=$F29,U$7&lt;=$F29+$G29-1),2,IF(AND($C29="Milestone",U$7&gt;=$F29,U$7&lt;=$F29+$G29-1),1,""))</f>
        <v/>
      </c>
      <c r="V29" s="71" t="str">
        <f aca="false">IF(AND($C29="Goal",V$7&gt;=$F29,V$7&lt;=$F29+$G29-1),2,IF(AND($C29="Milestone",V$7&gt;=$F29,V$7&lt;=$F29+$G29-1),1,""))</f>
        <v/>
      </c>
      <c r="W29" s="71" t="str">
        <f aca="false">IF(AND($C29="Goal",W$7&gt;=$F29,W$7&lt;=$F29+$G29-1),2,IF(AND($C29="Milestone",W$7&gt;=$F29,W$7&lt;=$F29+$G29-1),1,""))</f>
        <v/>
      </c>
      <c r="X29" s="71" t="str">
        <f aca="false">IF(AND($C29="Goal",X$7&gt;=$F29,X$7&lt;=$F29+$G29-1),2,IF(AND($C29="Milestone",X$7&gt;=$F29,X$7&lt;=$F29+$G29-1),1,""))</f>
        <v/>
      </c>
      <c r="Y29" s="71" t="str">
        <f aca="false">IF(AND($C29="Goal",Y$7&gt;=$F29,Y$7&lt;=$F29+$G29-1),2,IF(AND($C29="Milestone",Y$7&gt;=$F29,Y$7&lt;=$F29+$G29-1),1,""))</f>
        <v/>
      </c>
      <c r="Z29" s="71" t="str">
        <f aca="false">IF(AND($C29="Goal",Z$7&gt;=$F29,Z$7&lt;=$F29+$G29-1),2,IF(AND($C29="Milestone",Z$7&gt;=$F29,Z$7&lt;=$F29+$G29-1),1,""))</f>
        <v/>
      </c>
      <c r="AA29" s="71" t="str">
        <f aca="false">IF(AND($C29="Goal",AA$7&gt;=$F29,AA$7&lt;=$F29+$G29-1),2,IF(AND($C29="Milestone",AA$7&gt;=$F29,AA$7&lt;=$F29+$G29-1),1,""))</f>
        <v/>
      </c>
      <c r="AB29" s="71" t="str">
        <f aca="false">IF(AND($C29="Goal",AB$7&gt;=$F29,AB$7&lt;=$F29+$G29-1),2,IF(AND($C29="Milestone",AB$7&gt;=$F29,AB$7&lt;=$F29+$G29-1),1,""))</f>
        <v/>
      </c>
      <c r="AC29" s="71" t="str">
        <f aca="false">IF(AND($C29="Goal",AC$7&gt;=$F29,AC$7&lt;=$F29+$G29-1),2,IF(AND($C29="Milestone",AC$7&gt;=$F29,AC$7&lt;=$F29+$G29-1),1,""))</f>
        <v/>
      </c>
      <c r="AD29" s="71" t="str">
        <f aca="false">IF(AND($C29="Goal",AD$7&gt;=$F29,AD$7&lt;=$F29+$G29-1),2,IF(AND($C29="Milestone",AD$7&gt;=$F29,AD$7&lt;=$F29+$G29-1),1,""))</f>
        <v/>
      </c>
      <c r="AE29" s="71" t="str">
        <f aca="false">IF(AND($C29="Goal",AE$7&gt;=$F29,AE$7&lt;=$F29+$G29-1),2,IF(AND($C29="Milestone",AE$7&gt;=$F29,AE$7&lt;=$F29+$G29-1),1,""))</f>
        <v/>
      </c>
      <c r="AF29" s="71" t="str">
        <f aca="false">IF(AND($C29="Goal",AF$7&gt;=$F29,AF$7&lt;=$F29+$G29-1),2,IF(AND($C29="Milestone",AF$7&gt;=$F29,AF$7&lt;=$F29+$G29-1),1,""))</f>
        <v/>
      </c>
      <c r="AG29" s="71" t="str">
        <f aca="false">IF(AND($C29="Goal",AG$7&gt;=$F29,AG$7&lt;=$F29+$G29-1),2,IF(AND($C29="Milestone",AG$7&gt;=$F29,AG$7&lt;=$F29+$G29-1),1,""))</f>
        <v/>
      </c>
      <c r="AH29" s="71" t="str">
        <f aca="false">IF(AND($C29="Goal",AH$7&gt;=$F29,AH$7&lt;=$F29+$G29-1),2,IF(AND($C29="Milestone",AH$7&gt;=$F29,AH$7&lt;=$F29+$G29-1),1,""))</f>
        <v/>
      </c>
      <c r="AI29" s="71" t="str">
        <f aca="false">IF(AND($C29="Goal",AI$7&gt;=$F29,AI$7&lt;=$F29+$G29-1),2,IF(AND($C29="Milestone",AI$7&gt;=$F29,AI$7&lt;=$F29+$G29-1),1,""))</f>
        <v/>
      </c>
      <c r="AJ29" s="71" t="str">
        <f aca="false">IF(AND($C29="Goal",AJ$7&gt;=$F29,AJ$7&lt;=$F29+$G29-1),2,IF(AND($C29="Milestone",AJ$7&gt;=$F29,AJ$7&lt;=$F29+$G29-1),1,""))</f>
        <v/>
      </c>
      <c r="AK29" s="71" t="str">
        <f aca="false">IF(AND($C29="Goal",AK$7&gt;=$F29,AK$7&lt;=$F29+$G29-1),2,IF(AND($C29="Milestone",AK$7&gt;=$F29,AK$7&lt;=$F29+$G29-1),1,""))</f>
        <v/>
      </c>
      <c r="AL29" s="71" t="str">
        <f aca="false">IF(AND($C29="Goal",AL$7&gt;=$F29,AL$7&lt;=$F29+$G29-1),2,IF(AND($C29="Milestone",AL$7&gt;=$F29,AL$7&lt;=$F29+$G29-1),1,""))</f>
        <v/>
      </c>
      <c r="AM29" s="71" t="str">
        <f aca="false">IF(AND($C29="Goal",AM$7&gt;=$F29,AM$7&lt;=$F29+$G29-1),2,IF(AND($C29="Milestone",AM$7&gt;=$F29,AM$7&lt;=$F29+$G29-1),1,""))</f>
        <v/>
      </c>
      <c r="AN29" s="71" t="str">
        <f aca="false">IF(AND($C29="Goal",AN$7&gt;=$F29,AN$7&lt;=$F29+$G29-1),2,IF(AND($C29="Milestone",AN$7&gt;=$F29,AN$7&lt;=$F29+$G29-1),1,""))</f>
        <v/>
      </c>
      <c r="AO29" s="71" t="str">
        <f aca="false">IF(AND($C29="Goal",AO$7&gt;=$F29,AO$7&lt;=$F29+$G29-1),2,IF(AND($C29="Milestone",AO$7&gt;=$F29,AO$7&lt;=$F29+$G29-1),1,""))</f>
        <v/>
      </c>
      <c r="AP29" s="71" t="str">
        <f aca="false">IF(AND($C29="Goal",AP$7&gt;=$F29,AP$7&lt;=$F29+$G29-1),2,IF(AND($C29="Milestone",AP$7&gt;=$F29,AP$7&lt;=$F29+$G29-1),1,""))</f>
        <v/>
      </c>
      <c r="AQ29" s="71" t="str">
        <f aca="false">IF(AND($C29="Goal",AQ$7&gt;=$F29,AQ$7&lt;=$F29+$G29-1),2,IF(AND($C29="Milestone",AQ$7&gt;=$F29,AQ$7&lt;=$F29+$G29-1),1,""))</f>
        <v/>
      </c>
      <c r="AR29" s="71" t="str">
        <f aca="false">IF(AND($C29="Goal",AR$7&gt;=$F29,AR$7&lt;=$F29+$G29-1),2,IF(AND($C29="Milestone",AR$7&gt;=$F29,AR$7&lt;=$F29+$G29-1),1,""))</f>
        <v/>
      </c>
      <c r="AS29" s="71" t="str">
        <f aca="false">IF(AND($C29="Goal",AS$7&gt;=$F29,AS$7&lt;=$F29+$G29-1),2,IF(AND($C29="Milestone",AS$7&gt;=$F29,AS$7&lt;=$F29+$G29-1),1,""))</f>
        <v/>
      </c>
      <c r="AT29" s="71" t="str">
        <f aca="false">IF(AND($C29="Goal",AT$7&gt;=$F29,AT$7&lt;=$F29+$G29-1),2,IF(AND($C29="Milestone",AT$7&gt;=$F29,AT$7&lt;=$F29+$G29-1),1,""))</f>
        <v/>
      </c>
      <c r="AU29" s="71" t="str">
        <f aca="false">IF(AND($C29="Goal",AU$7&gt;=$F29,AU$7&lt;=$F29+$G29-1),2,IF(AND($C29="Milestone",AU$7&gt;=$F29,AU$7&lt;=$F29+$G29-1),1,""))</f>
        <v/>
      </c>
      <c r="AV29" s="71" t="str">
        <f aca="false">IF(AND($C29="Goal",AV$7&gt;=$F29,AV$7&lt;=$F29+$G29-1),2,IF(AND($C29="Milestone",AV$7&gt;=$F29,AV$7&lt;=$F29+$G29-1),1,""))</f>
        <v/>
      </c>
      <c r="AW29" s="71" t="str">
        <f aca="false">IF(AND($C29="Goal",AW$7&gt;=$F29,AW$7&lt;=$F29+$G29-1),2,IF(AND($C29="Milestone",AW$7&gt;=$F29,AW$7&lt;=$F29+$G29-1),1,""))</f>
        <v/>
      </c>
      <c r="AX29" s="71" t="str">
        <f aca="false">IF(AND($C29="Goal",AX$7&gt;=$F29,AX$7&lt;=$F29+$G29-1),2,IF(AND($C29="Milestone",AX$7&gt;=$F29,AX$7&lt;=$F29+$G29-1),1,""))</f>
        <v/>
      </c>
      <c r="AY29" s="71" t="str">
        <f aca="false">IF(AND($C29="Goal",AY$7&gt;=$F29,AY$7&lt;=$F29+$G29-1),2,IF(AND($C29="Milestone",AY$7&gt;=$F29,AY$7&lt;=$F29+$G29-1),1,""))</f>
        <v/>
      </c>
      <c r="AZ29" s="71" t="str">
        <f aca="false">IF(AND($C29="Goal",AZ$7&gt;=$F29,AZ$7&lt;=$F29+$G29-1),2,IF(AND($C29="Milestone",AZ$7&gt;=$F29,AZ$7&lt;=$F29+$G29-1),1,""))</f>
        <v/>
      </c>
      <c r="BA29" s="71" t="str">
        <f aca="false">IF(AND($C29="Goal",BA$7&gt;=$F29,BA$7&lt;=$F29+$G29-1),2,IF(AND($C29="Milestone",BA$7&gt;=$F29,BA$7&lt;=$F29+$G29-1),1,""))</f>
        <v/>
      </c>
      <c r="BB29" s="71" t="str">
        <f aca="false">IF(AND($C29="Goal",BB$7&gt;=$F29,BB$7&lt;=$F29+$G29-1),2,IF(AND($C29="Milestone",BB$7&gt;=$F29,BB$7&lt;=$F29+$G29-1),1,""))</f>
        <v/>
      </c>
      <c r="BC29" s="71" t="str">
        <f aca="false">IF(AND($C29="Goal",BC$7&gt;=$F29,BC$7&lt;=$F29+$G29-1),2,IF(AND($C29="Milestone",BC$7&gt;=$F29,BC$7&lt;=$F29+$G29-1),1,""))</f>
        <v/>
      </c>
      <c r="BD29" s="71" t="str">
        <f aca="false">IF(AND($C29="Goal",BD$7&gt;=$F29,BD$7&lt;=$F29+$G29-1),2,IF(AND($C29="Milestone",BD$7&gt;=$F29,BD$7&lt;=$F29+$G29-1),1,""))</f>
        <v/>
      </c>
      <c r="BE29" s="71" t="str">
        <f aca="false">IF(AND($C29="Goal",BE$7&gt;=$F29,BE$7&lt;=$F29+$G29-1),2,IF(AND($C29="Milestone",BE$7&gt;=$F29,BE$7&lt;=$F29+$G29-1),1,""))</f>
        <v/>
      </c>
      <c r="BF29" s="71" t="str">
        <f aca="false">IF(AND($C29="Goal",BF$7&gt;=$F29,BF$7&lt;=$F29+$G29-1),2,IF(AND($C29="Milestone",BF$7&gt;=$F29,BF$7&lt;=$F29+$G29-1),1,""))</f>
        <v/>
      </c>
      <c r="BG29" s="71" t="str">
        <f aca="false">IF(AND($C29="Goal",BG$7&gt;=$F29,BG$7&lt;=$F29+$G29-1),2,IF(AND($C29="Milestone",BG$7&gt;=$F29,BG$7&lt;=$F29+$G29-1),1,""))</f>
        <v/>
      </c>
      <c r="BH29" s="71" t="str">
        <f aca="false">IF(AND($C29="Goal",BH$7&gt;=$F29,BH$7&lt;=$F29+$G29-1),2,IF(AND($C29="Milestone",BH$7&gt;=$F29,BH$7&lt;=$F29+$G29-1),1,""))</f>
        <v/>
      </c>
      <c r="BI29" s="71" t="str">
        <f aca="false">IF(AND($C29="Goal",BI$7&gt;=$F29,BI$7&lt;=$F29+$G29-1),2,IF(AND($C29="Milestone",BI$7&gt;=$F29,BI$7&lt;=$F29+$G29-1),1,""))</f>
        <v/>
      </c>
      <c r="BJ29" s="71" t="str">
        <f aca="false">IF(AND($C29="Goal",BJ$7&gt;=$F29,BJ$7&lt;=$F29+$G29-1),2,IF(AND($C29="Milestone",BJ$7&gt;=$F29,BJ$7&lt;=$F29+$G29-1),1,""))</f>
        <v/>
      </c>
      <c r="BK29" s="71" t="str">
        <f aca="false">IF(AND($C29="Goal",BK$7&gt;=$F29,BK$7&lt;=$F29+$G29-1),2,IF(AND($C29="Milestone",BK$7&gt;=$F29,BK$7&lt;=$F29+$G29-1),1,""))</f>
        <v/>
      </c>
      <c r="BL29" s="71" t="str">
        <f aca="false">IF(AND($C29="Goal",BL$7&gt;=$F29,BL$7&lt;=$F29+$G29-1),2,IF(AND($C29="Milestone",BL$7&gt;=$F29,BL$7&lt;=$F29+$G29-1),1,""))</f>
        <v/>
      </c>
    </row>
    <row r="30" s="25" customFormat="true" ht="39.75" hidden="false" customHeight="true" outlineLevel="0" collapsed="false">
      <c r="A30" s="13"/>
      <c r="B30" s="101" t="s">
        <v>81</v>
      </c>
      <c r="C30" s="67"/>
      <c r="D30" s="67"/>
      <c r="E30" s="68"/>
      <c r="F30" s="69" t="n">
        <f aca="false">F27+3</f>
        <v>46005</v>
      </c>
      <c r="G30" s="70" t="n">
        <v>15</v>
      </c>
      <c r="H30" s="67"/>
      <c r="I30" s="71" t="str">
        <f aca="false">IF(AND($C30="Goal",I$7&gt;=$F30,I$7&lt;=$F30+$G30-1),2,IF(AND($C30="Milestone",I$7&gt;=$F30,I$7&lt;=$F30+$G30-1),1,""))</f>
        <v/>
      </c>
      <c r="J30" s="71" t="str">
        <f aca="false">IF(AND($C30="Goal",J$7&gt;=$F30,J$7&lt;=$F30+$G30-1),2,IF(AND($C30="Milestone",J$7&gt;=$F30,J$7&lt;=$F30+$G30-1),1,""))</f>
        <v/>
      </c>
      <c r="K30" s="71" t="str">
        <f aca="false">IF(AND($C30="Goal",K$7&gt;=$F30,K$7&lt;=$F30+$G30-1),2,IF(AND($C30="Milestone",K$7&gt;=$F30,K$7&lt;=$F30+$G30-1),1,""))</f>
        <v/>
      </c>
      <c r="L30" s="71" t="str">
        <f aca="false">IF(AND($C30="Goal",L$7&gt;=$F30,L$7&lt;=$F30+$G30-1),2,IF(AND($C30="Milestone",L$7&gt;=$F30,L$7&lt;=$F30+$G30-1),1,""))</f>
        <v/>
      </c>
      <c r="M30" s="71" t="str">
        <f aca="false">IF(AND($C30="Goal",M$7&gt;=$F30,M$7&lt;=$F30+$G30-1),2,IF(AND($C30="Milestone",M$7&gt;=$F30,M$7&lt;=$F30+$G30-1),1,""))</f>
        <v/>
      </c>
      <c r="N30" s="71" t="str">
        <f aca="false">IF(AND($C30="Goal",N$7&gt;=$F30,N$7&lt;=$F30+$G30-1),2,IF(AND($C30="Milestone",N$7&gt;=$F30,N$7&lt;=$F30+$G30-1),1,""))</f>
        <v/>
      </c>
      <c r="O30" s="71" t="str">
        <f aca="false">IF(AND($C30="Goal",O$7&gt;=$F30,O$7&lt;=$F30+$G30-1),2,IF(AND($C30="Milestone",O$7&gt;=$F30,O$7&lt;=$F30+$G30-1),1,""))</f>
        <v/>
      </c>
      <c r="P30" s="71" t="str">
        <f aca="false">IF(AND($C30="Goal",P$7&gt;=$F30,P$7&lt;=$F30+$G30-1),2,IF(AND($C30="Milestone",P$7&gt;=$F30,P$7&lt;=$F30+$G30-1),1,""))</f>
        <v/>
      </c>
      <c r="Q30" s="71" t="str">
        <f aca="false">IF(AND($C30="Goal",Q$7&gt;=$F30,Q$7&lt;=$F30+$G30-1),2,IF(AND($C30="Milestone",Q$7&gt;=$F30,Q$7&lt;=$F30+$G30-1),1,""))</f>
        <v/>
      </c>
      <c r="R30" s="71" t="str">
        <f aca="false">IF(AND($C30="Goal",R$7&gt;=$F30,R$7&lt;=$F30+$G30-1),2,IF(AND($C30="Milestone",R$7&gt;=$F30,R$7&lt;=$F30+$G30-1),1,""))</f>
        <v/>
      </c>
      <c r="S30" s="71" t="str">
        <f aca="false">IF(AND($C30="Goal",S$7&gt;=$F30,S$7&lt;=$F30+$G30-1),2,IF(AND($C30="Milestone",S$7&gt;=$F30,S$7&lt;=$F30+$G30-1),1,""))</f>
        <v/>
      </c>
      <c r="T30" s="71" t="str">
        <f aca="false">IF(AND($C30="Goal",T$7&gt;=$F30,T$7&lt;=$F30+$G30-1),2,IF(AND($C30="Milestone",T$7&gt;=$F30,T$7&lt;=$F30+$G30-1),1,""))</f>
        <v/>
      </c>
      <c r="U30" s="71" t="str">
        <f aca="false">IF(AND($C30="Goal",U$7&gt;=$F30,U$7&lt;=$F30+$G30-1),2,IF(AND($C30="Milestone",U$7&gt;=$F30,U$7&lt;=$F30+$G30-1),1,""))</f>
        <v/>
      </c>
      <c r="V30" s="71" t="str">
        <f aca="false">IF(AND($C30="Goal",V$7&gt;=$F30,V$7&lt;=$F30+$G30-1),2,IF(AND($C30="Milestone",V$7&gt;=$F30,V$7&lt;=$F30+$G30-1),1,""))</f>
        <v/>
      </c>
      <c r="W30" s="71" t="str">
        <f aca="false">IF(AND($C30="Goal",W$7&gt;=$F30,W$7&lt;=$F30+$G30-1),2,IF(AND($C30="Milestone",W$7&gt;=$F30,W$7&lt;=$F30+$G30-1),1,""))</f>
        <v/>
      </c>
      <c r="X30" s="71" t="str">
        <f aca="false">IF(AND($C30="Goal",X$7&gt;=$F30,X$7&lt;=$F30+$G30-1),2,IF(AND($C30="Milestone",X$7&gt;=$F30,X$7&lt;=$F30+$G30-1),1,""))</f>
        <v/>
      </c>
      <c r="Y30" s="71" t="str">
        <f aca="false">IF(AND($C30="Goal",Y$7&gt;=$F30,Y$7&lt;=$F30+$G30-1),2,IF(AND($C30="Milestone",Y$7&gt;=$F30,Y$7&lt;=$F30+$G30-1),1,""))</f>
        <v/>
      </c>
      <c r="Z30" s="71" t="str">
        <f aca="false">IF(AND($C30="Goal",Z$7&gt;=$F30,Z$7&lt;=$F30+$G30-1),2,IF(AND($C30="Milestone",Z$7&gt;=$F30,Z$7&lt;=$F30+$G30-1),1,""))</f>
        <v/>
      </c>
      <c r="AA30" s="71" t="str">
        <f aca="false">IF(AND($C30="Goal",AA$7&gt;=$F30,AA$7&lt;=$F30+$G30-1),2,IF(AND($C30="Milestone",AA$7&gt;=$F30,AA$7&lt;=$F30+$G30-1),1,""))</f>
        <v/>
      </c>
      <c r="AB30" s="71" t="str">
        <f aca="false">IF(AND($C30="Goal",AB$7&gt;=$F30,AB$7&lt;=$F30+$G30-1),2,IF(AND($C30="Milestone",AB$7&gt;=$F30,AB$7&lt;=$F30+$G30-1),1,""))</f>
        <v/>
      </c>
      <c r="AC30" s="71" t="str">
        <f aca="false">IF(AND($C30="Goal",AC$7&gt;=$F30,AC$7&lt;=$F30+$G30-1),2,IF(AND($C30="Milestone",AC$7&gt;=$F30,AC$7&lt;=$F30+$G30-1),1,""))</f>
        <v/>
      </c>
      <c r="AD30" s="71" t="str">
        <f aca="false">IF(AND($C30="Goal",AD$7&gt;=$F30,AD$7&lt;=$F30+$G30-1),2,IF(AND($C30="Milestone",AD$7&gt;=$F30,AD$7&lt;=$F30+$G30-1),1,""))</f>
        <v/>
      </c>
      <c r="AE30" s="71" t="str">
        <f aca="false">IF(AND($C30="Goal",AE$7&gt;=$F30,AE$7&lt;=$F30+$G30-1),2,IF(AND($C30="Milestone",AE$7&gt;=$F30,AE$7&lt;=$F30+$G30-1),1,""))</f>
        <v/>
      </c>
      <c r="AF30" s="71" t="str">
        <f aca="false">IF(AND($C30="Goal",AF$7&gt;=$F30,AF$7&lt;=$F30+$G30-1),2,IF(AND($C30="Milestone",AF$7&gt;=$F30,AF$7&lt;=$F30+$G30-1),1,""))</f>
        <v/>
      </c>
      <c r="AG30" s="71" t="str">
        <f aca="false">IF(AND($C30="Goal",AG$7&gt;=$F30,AG$7&lt;=$F30+$G30-1),2,IF(AND($C30="Milestone",AG$7&gt;=$F30,AG$7&lt;=$F30+$G30-1),1,""))</f>
        <v/>
      </c>
      <c r="AH30" s="71" t="str">
        <f aca="false">IF(AND($C30="Goal",AH$7&gt;=$F30,AH$7&lt;=$F30+$G30-1),2,IF(AND($C30="Milestone",AH$7&gt;=$F30,AH$7&lt;=$F30+$G30-1),1,""))</f>
        <v/>
      </c>
      <c r="AI30" s="71" t="str">
        <f aca="false">IF(AND($C30="Goal",AI$7&gt;=$F30,AI$7&lt;=$F30+$G30-1),2,IF(AND($C30="Milestone",AI$7&gt;=$F30,AI$7&lt;=$F30+$G30-1),1,""))</f>
        <v/>
      </c>
      <c r="AJ30" s="71" t="str">
        <f aca="false">IF(AND($C30="Goal",AJ$7&gt;=$F30,AJ$7&lt;=$F30+$G30-1),2,IF(AND($C30="Milestone",AJ$7&gt;=$F30,AJ$7&lt;=$F30+$G30-1),1,""))</f>
        <v/>
      </c>
      <c r="AK30" s="71" t="str">
        <f aca="false">IF(AND($C30="Goal",AK$7&gt;=$F30,AK$7&lt;=$F30+$G30-1),2,IF(AND($C30="Milestone",AK$7&gt;=$F30,AK$7&lt;=$F30+$G30-1),1,""))</f>
        <v/>
      </c>
      <c r="AL30" s="71" t="str">
        <f aca="false">IF(AND($C30="Goal",AL$7&gt;=$F30,AL$7&lt;=$F30+$G30-1),2,IF(AND($C30="Milestone",AL$7&gt;=$F30,AL$7&lt;=$F30+$G30-1),1,""))</f>
        <v/>
      </c>
      <c r="AM30" s="71" t="str">
        <f aca="false">IF(AND($C30="Goal",AM$7&gt;=$F30,AM$7&lt;=$F30+$G30-1),2,IF(AND($C30="Milestone",AM$7&gt;=$F30,AM$7&lt;=$F30+$G30-1),1,""))</f>
        <v/>
      </c>
      <c r="AN30" s="71" t="str">
        <f aca="false">IF(AND($C30="Goal",AN$7&gt;=$F30,AN$7&lt;=$F30+$G30-1),2,IF(AND($C30="Milestone",AN$7&gt;=$F30,AN$7&lt;=$F30+$G30-1),1,""))</f>
        <v/>
      </c>
      <c r="AO30" s="71" t="str">
        <f aca="false">IF(AND($C30="Goal",AO$7&gt;=$F30,AO$7&lt;=$F30+$G30-1),2,IF(AND($C30="Milestone",AO$7&gt;=$F30,AO$7&lt;=$F30+$G30-1),1,""))</f>
        <v/>
      </c>
      <c r="AP30" s="71" t="str">
        <f aca="false">IF(AND($C30="Goal",AP$7&gt;=$F30,AP$7&lt;=$F30+$G30-1),2,IF(AND($C30="Milestone",AP$7&gt;=$F30,AP$7&lt;=$F30+$G30-1),1,""))</f>
        <v/>
      </c>
      <c r="AQ30" s="71" t="str">
        <f aca="false">IF(AND($C30="Goal",AQ$7&gt;=$F30,AQ$7&lt;=$F30+$G30-1),2,IF(AND($C30="Milestone",AQ$7&gt;=$F30,AQ$7&lt;=$F30+$G30-1),1,""))</f>
        <v/>
      </c>
      <c r="AR30" s="71" t="str">
        <f aca="false">IF(AND($C30="Goal",AR$7&gt;=$F30,AR$7&lt;=$F30+$G30-1),2,IF(AND($C30="Milestone",AR$7&gt;=$F30,AR$7&lt;=$F30+$G30-1),1,""))</f>
        <v/>
      </c>
      <c r="AS30" s="71" t="str">
        <f aca="false">IF(AND($C30="Goal",AS$7&gt;=$F30,AS$7&lt;=$F30+$G30-1),2,IF(AND($C30="Milestone",AS$7&gt;=$F30,AS$7&lt;=$F30+$G30-1),1,""))</f>
        <v/>
      </c>
      <c r="AT30" s="71" t="str">
        <f aca="false">IF(AND($C30="Goal",AT$7&gt;=$F30,AT$7&lt;=$F30+$G30-1),2,IF(AND($C30="Milestone",AT$7&gt;=$F30,AT$7&lt;=$F30+$G30-1),1,""))</f>
        <v/>
      </c>
      <c r="AU30" s="71" t="str">
        <f aca="false">IF(AND($C30="Goal",AU$7&gt;=$F30,AU$7&lt;=$F30+$G30-1),2,IF(AND($C30="Milestone",AU$7&gt;=$F30,AU$7&lt;=$F30+$G30-1),1,""))</f>
        <v/>
      </c>
      <c r="AV30" s="71" t="str">
        <f aca="false">IF(AND($C30="Goal",AV$7&gt;=$F30,AV$7&lt;=$F30+$G30-1),2,IF(AND($C30="Milestone",AV$7&gt;=$F30,AV$7&lt;=$F30+$G30-1),1,""))</f>
        <v/>
      </c>
      <c r="AW30" s="71" t="str">
        <f aca="false">IF(AND($C30="Goal",AW$7&gt;=$F30,AW$7&lt;=$F30+$G30-1),2,IF(AND($C30="Milestone",AW$7&gt;=$F30,AW$7&lt;=$F30+$G30-1),1,""))</f>
        <v/>
      </c>
      <c r="AX30" s="71" t="str">
        <f aca="false">IF(AND($C30="Goal",AX$7&gt;=$F30,AX$7&lt;=$F30+$G30-1),2,IF(AND($C30="Milestone",AX$7&gt;=$F30,AX$7&lt;=$F30+$G30-1),1,""))</f>
        <v/>
      </c>
      <c r="AY30" s="71" t="str">
        <f aca="false">IF(AND($C30="Goal",AY$7&gt;=$F30,AY$7&lt;=$F30+$G30-1),2,IF(AND($C30="Milestone",AY$7&gt;=$F30,AY$7&lt;=$F30+$G30-1),1,""))</f>
        <v/>
      </c>
      <c r="AZ30" s="71" t="str">
        <f aca="false">IF(AND($C30="Goal",AZ$7&gt;=$F30,AZ$7&lt;=$F30+$G30-1),2,IF(AND($C30="Milestone",AZ$7&gt;=$F30,AZ$7&lt;=$F30+$G30-1),1,""))</f>
        <v/>
      </c>
      <c r="BA30" s="71" t="str">
        <f aca="false">IF(AND($C30="Goal",BA$7&gt;=$F30,BA$7&lt;=$F30+$G30-1),2,IF(AND($C30="Milestone",BA$7&gt;=$F30,BA$7&lt;=$F30+$G30-1),1,""))</f>
        <v/>
      </c>
      <c r="BB30" s="71" t="str">
        <f aca="false">IF(AND($C30="Goal",BB$7&gt;=$F30,BB$7&lt;=$F30+$G30-1),2,IF(AND($C30="Milestone",BB$7&gt;=$F30,BB$7&lt;=$F30+$G30-1),1,""))</f>
        <v/>
      </c>
      <c r="BC30" s="71" t="str">
        <f aca="false">IF(AND($C30="Goal",BC$7&gt;=$F30,BC$7&lt;=$F30+$G30-1),2,IF(AND($C30="Milestone",BC$7&gt;=$F30,BC$7&lt;=$F30+$G30-1),1,""))</f>
        <v/>
      </c>
      <c r="BD30" s="71" t="str">
        <f aca="false">IF(AND($C30="Goal",BD$7&gt;=$F30,BD$7&lt;=$F30+$G30-1),2,IF(AND($C30="Milestone",BD$7&gt;=$F30,BD$7&lt;=$F30+$G30-1),1,""))</f>
        <v/>
      </c>
      <c r="BE30" s="71" t="str">
        <f aca="false">IF(AND($C30="Goal",BE$7&gt;=$F30,BE$7&lt;=$F30+$G30-1),2,IF(AND($C30="Milestone",BE$7&gt;=$F30,BE$7&lt;=$F30+$G30-1),1,""))</f>
        <v/>
      </c>
      <c r="BF30" s="71" t="str">
        <f aca="false">IF(AND($C30="Goal",BF$7&gt;=$F30,BF$7&lt;=$F30+$G30-1),2,IF(AND($C30="Milestone",BF$7&gt;=$F30,BF$7&lt;=$F30+$G30-1),1,""))</f>
        <v/>
      </c>
      <c r="BG30" s="71" t="str">
        <f aca="false">IF(AND($C30="Goal",BG$7&gt;=$F30,BG$7&lt;=$F30+$G30-1),2,IF(AND($C30="Milestone",BG$7&gt;=$F30,BG$7&lt;=$F30+$G30-1),1,""))</f>
        <v/>
      </c>
      <c r="BH30" s="71" t="str">
        <f aca="false">IF(AND($C30="Goal",BH$7&gt;=$F30,BH$7&lt;=$F30+$G30-1),2,IF(AND($C30="Milestone",BH$7&gt;=$F30,BH$7&lt;=$F30+$G30-1),1,""))</f>
        <v/>
      </c>
      <c r="BI30" s="71" t="str">
        <f aca="false">IF(AND($C30="Goal",BI$7&gt;=$F30,BI$7&lt;=$F30+$G30-1),2,IF(AND($C30="Milestone",BI$7&gt;=$F30,BI$7&lt;=$F30+$G30-1),1,""))</f>
        <v/>
      </c>
      <c r="BJ30" s="71" t="str">
        <f aca="false">IF(AND($C30="Goal",BJ$7&gt;=$F30,BJ$7&lt;=$F30+$G30-1),2,IF(AND($C30="Milestone",BJ$7&gt;=$F30,BJ$7&lt;=$F30+$G30-1),1,""))</f>
        <v/>
      </c>
      <c r="BK30" s="71" t="str">
        <f aca="false">IF(AND($C30="Goal",BK$7&gt;=$F30,BK$7&lt;=$F30+$G30-1),2,IF(AND($C30="Milestone",BK$7&gt;=$F30,BK$7&lt;=$F30+$G30-1),1,""))</f>
        <v/>
      </c>
      <c r="BL30" s="71" t="str">
        <f aca="false">IF(AND($C30="Goal",BL$7&gt;=$F30,BL$7&lt;=$F30+$G30-1),2,IF(AND($C30="Milestone",BL$7&gt;=$F30,BL$7&lt;=$F30+$G30-1),1,""))</f>
        <v/>
      </c>
    </row>
    <row r="31" s="25" customFormat="true" ht="39.75" hidden="false" customHeight="true" outlineLevel="0" collapsed="false">
      <c r="A31" s="13"/>
      <c r="B31" s="101" t="s">
        <v>84</v>
      </c>
      <c r="C31" s="67"/>
      <c r="D31" s="67"/>
      <c r="E31" s="68"/>
      <c r="F31" s="69" t="n">
        <f aca="false">F30+14</f>
        <v>46019</v>
      </c>
      <c r="G31" s="70" t="n">
        <v>5</v>
      </c>
      <c r="H31" s="67"/>
      <c r="I31" s="71" t="str">
        <f aca="false">IF(AND($C31="Goal",I$7&gt;=$F31,I$7&lt;=$F31+$G31-1),2,IF(AND($C31="Milestone",I$7&gt;=$F31,I$7&lt;=$F31+$G31-1),1,""))</f>
        <v/>
      </c>
      <c r="J31" s="71" t="str">
        <f aca="false">IF(AND($C31="Goal",J$7&gt;=$F31,J$7&lt;=$F31+$G31-1),2,IF(AND($C31="Milestone",J$7&gt;=$F31,J$7&lt;=$F31+$G31-1),1,""))</f>
        <v/>
      </c>
      <c r="K31" s="71" t="str">
        <f aca="false">IF(AND($C31="Goal",K$7&gt;=$F31,K$7&lt;=$F31+$G31-1),2,IF(AND($C31="Milestone",K$7&gt;=$F31,K$7&lt;=$F31+$G31-1),1,""))</f>
        <v/>
      </c>
      <c r="L31" s="71" t="str">
        <f aca="false">IF(AND($C31="Goal",L$7&gt;=$F31,L$7&lt;=$F31+$G31-1),2,IF(AND($C31="Milestone",L$7&gt;=$F31,L$7&lt;=$F31+$G31-1),1,""))</f>
        <v/>
      </c>
      <c r="M31" s="71" t="str">
        <f aca="false">IF(AND($C31="Goal",M$7&gt;=$F31,M$7&lt;=$F31+$G31-1),2,IF(AND($C31="Milestone",M$7&gt;=$F31,M$7&lt;=$F31+$G31-1),1,""))</f>
        <v/>
      </c>
      <c r="N31" s="71" t="str">
        <f aca="false">IF(AND($C31="Goal",N$7&gt;=$F31,N$7&lt;=$F31+$G31-1),2,IF(AND($C31="Milestone",N$7&gt;=$F31,N$7&lt;=$F31+$G31-1),1,""))</f>
        <v/>
      </c>
      <c r="O31" s="71" t="str">
        <f aca="false">IF(AND($C31="Goal",O$7&gt;=$F31,O$7&lt;=$F31+$G31-1),2,IF(AND($C31="Milestone",O$7&gt;=$F31,O$7&lt;=$F31+$G31-1),1,""))</f>
        <v/>
      </c>
      <c r="P31" s="71" t="str">
        <f aca="false">IF(AND($C31="Goal",P$7&gt;=$F31,P$7&lt;=$F31+$G31-1),2,IF(AND($C31="Milestone",P$7&gt;=$F31,P$7&lt;=$F31+$G31-1),1,""))</f>
        <v/>
      </c>
      <c r="Q31" s="71" t="str">
        <f aca="false">IF(AND($C31="Goal",Q$7&gt;=$F31,Q$7&lt;=$F31+$G31-1),2,IF(AND($C31="Milestone",Q$7&gt;=$F31,Q$7&lt;=$F31+$G31-1),1,""))</f>
        <v/>
      </c>
      <c r="R31" s="71" t="str">
        <f aca="false">IF(AND($C31="Goal",R$7&gt;=$F31,R$7&lt;=$F31+$G31-1),2,IF(AND($C31="Milestone",R$7&gt;=$F31,R$7&lt;=$F31+$G31-1),1,""))</f>
        <v/>
      </c>
      <c r="S31" s="71" t="str">
        <f aca="false">IF(AND($C31="Goal",S$7&gt;=$F31,S$7&lt;=$F31+$G31-1),2,IF(AND($C31="Milestone",S$7&gt;=$F31,S$7&lt;=$F31+$G31-1),1,""))</f>
        <v/>
      </c>
      <c r="T31" s="71" t="str">
        <f aca="false">IF(AND($C31="Goal",T$7&gt;=$F31,T$7&lt;=$F31+$G31-1),2,IF(AND($C31="Milestone",T$7&gt;=$F31,T$7&lt;=$F31+$G31-1),1,""))</f>
        <v/>
      </c>
      <c r="U31" s="71" t="str">
        <f aca="false">IF(AND($C31="Goal",U$7&gt;=$F31,U$7&lt;=$F31+$G31-1),2,IF(AND($C31="Milestone",U$7&gt;=$F31,U$7&lt;=$F31+$G31-1),1,""))</f>
        <v/>
      </c>
      <c r="V31" s="71" t="str">
        <f aca="false">IF(AND($C31="Goal",V$7&gt;=$F31,V$7&lt;=$F31+$G31-1),2,IF(AND($C31="Milestone",V$7&gt;=$F31,V$7&lt;=$F31+$G31-1),1,""))</f>
        <v/>
      </c>
      <c r="W31" s="71" t="str">
        <f aca="false">IF(AND($C31="Goal",W$7&gt;=$F31,W$7&lt;=$F31+$G31-1),2,IF(AND($C31="Milestone",W$7&gt;=$F31,W$7&lt;=$F31+$G31-1),1,""))</f>
        <v/>
      </c>
      <c r="X31" s="71" t="str">
        <f aca="false">IF(AND($C31="Goal",X$7&gt;=$F31,X$7&lt;=$F31+$G31-1),2,IF(AND($C31="Milestone",X$7&gt;=$F31,X$7&lt;=$F31+$G31-1),1,""))</f>
        <v/>
      </c>
      <c r="Y31" s="71" t="str">
        <f aca="false">IF(AND($C31="Goal",Y$7&gt;=$F31,Y$7&lt;=$F31+$G31-1),2,IF(AND($C31="Milestone",Y$7&gt;=$F31,Y$7&lt;=$F31+$G31-1),1,""))</f>
        <v/>
      </c>
      <c r="Z31" s="71" t="str">
        <f aca="false">IF(AND($C31="Goal",Z$7&gt;=$F31,Z$7&lt;=$F31+$G31-1),2,IF(AND($C31="Milestone",Z$7&gt;=$F31,Z$7&lt;=$F31+$G31-1),1,""))</f>
        <v/>
      </c>
      <c r="AA31" s="71" t="str">
        <f aca="false">IF(AND($C31="Goal",AA$7&gt;=$F31,AA$7&lt;=$F31+$G31-1),2,IF(AND($C31="Milestone",AA$7&gt;=$F31,AA$7&lt;=$F31+$G31-1),1,""))</f>
        <v/>
      </c>
      <c r="AB31" s="71" t="str">
        <f aca="false">IF(AND($C31="Goal",AB$7&gt;=$F31,AB$7&lt;=$F31+$G31-1),2,IF(AND($C31="Milestone",AB$7&gt;=$F31,AB$7&lt;=$F31+$G31-1),1,""))</f>
        <v/>
      </c>
      <c r="AC31" s="71" t="str">
        <f aca="false">IF(AND($C31="Goal",AC$7&gt;=$F31,AC$7&lt;=$F31+$G31-1),2,IF(AND($C31="Milestone",AC$7&gt;=$F31,AC$7&lt;=$F31+$G31-1),1,""))</f>
        <v/>
      </c>
      <c r="AD31" s="71" t="str">
        <f aca="false">IF(AND($C31="Goal",AD$7&gt;=$F31,AD$7&lt;=$F31+$G31-1),2,IF(AND($C31="Milestone",AD$7&gt;=$F31,AD$7&lt;=$F31+$G31-1),1,""))</f>
        <v/>
      </c>
      <c r="AE31" s="71" t="str">
        <f aca="false">IF(AND($C31="Goal",AE$7&gt;=$F31,AE$7&lt;=$F31+$G31-1),2,IF(AND($C31="Milestone",AE$7&gt;=$F31,AE$7&lt;=$F31+$G31-1),1,""))</f>
        <v/>
      </c>
      <c r="AF31" s="71" t="str">
        <f aca="false">IF(AND($C31="Goal",AF$7&gt;=$F31,AF$7&lt;=$F31+$G31-1),2,IF(AND($C31="Milestone",AF$7&gt;=$F31,AF$7&lt;=$F31+$G31-1),1,""))</f>
        <v/>
      </c>
      <c r="AG31" s="71" t="str">
        <f aca="false">IF(AND($C31="Goal",AG$7&gt;=$F31,AG$7&lt;=$F31+$G31-1),2,IF(AND($C31="Milestone",AG$7&gt;=$F31,AG$7&lt;=$F31+$G31-1),1,""))</f>
        <v/>
      </c>
      <c r="AH31" s="71" t="str">
        <f aca="false">IF(AND($C31="Goal",AH$7&gt;=$F31,AH$7&lt;=$F31+$G31-1),2,IF(AND($C31="Milestone",AH$7&gt;=$F31,AH$7&lt;=$F31+$G31-1),1,""))</f>
        <v/>
      </c>
      <c r="AI31" s="71" t="str">
        <f aca="false">IF(AND($C31="Goal",AI$7&gt;=$F31,AI$7&lt;=$F31+$G31-1),2,IF(AND($C31="Milestone",AI$7&gt;=$F31,AI$7&lt;=$F31+$G31-1),1,""))</f>
        <v/>
      </c>
      <c r="AJ31" s="71" t="str">
        <f aca="false">IF(AND($C31="Goal",AJ$7&gt;=$F31,AJ$7&lt;=$F31+$G31-1),2,IF(AND($C31="Milestone",AJ$7&gt;=$F31,AJ$7&lt;=$F31+$G31-1),1,""))</f>
        <v/>
      </c>
      <c r="AK31" s="71" t="str">
        <f aca="false">IF(AND($C31="Goal",AK$7&gt;=$F31,AK$7&lt;=$F31+$G31-1),2,IF(AND($C31="Milestone",AK$7&gt;=$F31,AK$7&lt;=$F31+$G31-1),1,""))</f>
        <v/>
      </c>
      <c r="AL31" s="71" t="str">
        <f aca="false">IF(AND($C31="Goal",AL$7&gt;=$F31,AL$7&lt;=$F31+$G31-1),2,IF(AND($C31="Milestone",AL$7&gt;=$F31,AL$7&lt;=$F31+$G31-1),1,""))</f>
        <v/>
      </c>
      <c r="AM31" s="71" t="str">
        <f aca="false">IF(AND($C31="Goal",AM$7&gt;=$F31,AM$7&lt;=$F31+$G31-1),2,IF(AND($C31="Milestone",AM$7&gt;=$F31,AM$7&lt;=$F31+$G31-1),1,""))</f>
        <v/>
      </c>
      <c r="AN31" s="71" t="str">
        <f aca="false">IF(AND($C31="Goal",AN$7&gt;=$F31,AN$7&lt;=$F31+$G31-1),2,IF(AND($C31="Milestone",AN$7&gt;=$F31,AN$7&lt;=$F31+$G31-1),1,""))</f>
        <v/>
      </c>
      <c r="AO31" s="71" t="str">
        <f aca="false">IF(AND($C31="Goal",AO$7&gt;=$F31,AO$7&lt;=$F31+$G31-1),2,IF(AND($C31="Milestone",AO$7&gt;=$F31,AO$7&lt;=$F31+$G31-1),1,""))</f>
        <v/>
      </c>
      <c r="AP31" s="71" t="str">
        <f aca="false">IF(AND($C31="Goal",AP$7&gt;=$F31,AP$7&lt;=$F31+$G31-1),2,IF(AND($C31="Milestone",AP$7&gt;=$F31,AP$7&lt;=$F31+$G31-1),1,""))</f>
        <v/>
      </c>
      <c r="AQ31" s="71" t="str">
        <f aca="false">IF(AND($C31="Goal",AQ$7&gt;=$F31,AQ$7&lt;=$F31+$G31-1),2,IF(AND($C31="Milestone",AQ$7&gt;=$F31,AQ$7&lt;=$F31+$G31-1),1,""))</f>
        <v/>
      </c>
      <c r="AR31" s="71" t="str">
        <f aca="false">IF(AND($C31="Goal",AR$7&gt;=$F31,AR$7&lt;=$F31+$G31-1),2,IF(AND($C31="Milestone",AR$7&gt;=$F31,AR$7&lt;=$F31+$G31-1),1,""))</f>
        <v/>
      </c>
      <c r="AS31" s="71" t="str">
        <f aca="false">IF(AND($C31="Goal",AS$7&gt;=$F31,AS$7&lt;=$F31+$G31-1),2,IF(AND($C31="Milestone",AS$7&gt;=$F31,AS$7&lt;=$F31+$G31-1),1,""))</f>
        <v/>
      </c>
      <c r="AT31" s="71" t="str">
        <f aca="false">IF(AND($C31="Goal",AT$7&gt;=$F31,AT$7&lt;=$F31+$G31-1),2,IF(AND($C31="Milestone",AT$7&gt;=$F31,AT$7&lt;=$F31+$G31-1),1,""))</f>
        <v/>
      </c>
      <c r="AU31" s="71" t="str">
        <f aca="false">IF(AND($C31="Goal",AU$7&gt;=$F31,AU$7&lt;=$F31+$G31-1),2,IF(AND($C31="Milestone",AU$7&gt;=$F31,AU$7&lt;=$F31+$G31-1),1,""))</f>
        <v/>
      </c>
      <c r="AV31" s="71" t="str">
        <f aca="false">IF(AND($C31="Goal",AV$7&gt;=$F31,AV$7&lt;=$F31+$G31-1),2,IF(AND($C31="Milestone",AV$7&gt;=$F31,AV$7&lt;=$F31+$G31-1),1,""))</f>
        <v/>
      </c>
      <c r="AW31" s="71" t="str">
        <f aca="false">IF(AND($C31="Goal",AW$7&gt;=$F31,AW$7&lt;=$F31+$G31-1),2,IF(AND($C31="Milestone",AW$7&gt;=$F31,AW$7&lt;=$F31+$G31-1),1,""))</f>
        <v/>
      </c>
      <c r="AX31" s="71" t="str">
        <f aca="false">IF(AND($C31="Goal",AX$7&gt;=$F31,AX$7&lt;=$F31+$G31-1),2,IF(AND($C31="Milestone",AX$7&gt;=$F31,AX$7&lt;=$F31+$G31-1),1,""))</f>
        <v/>
      </c>
      <c r="AY31" s="71" t="str">
        <f aca="false">IF(AND($C31="Goal",AY$7&gt;=$F31,AY$7&lt;=$F31+$G31-1),2,IF(AND($C31="Milestone",AY$7&gt;=$F31,AY$7&lt;=$F31+$G31-1),1,""))</f>
        <v/>
      </c>
      <c r="AZ31" s="71" t="str">
        <f aca="false">IF(AND($C31="Goal",AZ$7&gt;=$F31,AZ$7&lt;=$F31+$G31-1),2,IF(AND($C31="Milestone",AZ$7&gt;=$F31,AZ$7&lt;=$F31+$G31-1),1,""))</f>
        <v/>
      </c>
      <c r="BA31" s="71" t="str">
        <f aca="false">IF(AND($C31="Goal",BA$7&gt;=$F31,BA$7&lt;=$F31+$G31-1),2,IF(AND($C31="Milestone",BA$7&gt;=$F31,BA$7&lt;=$F31+$G31-1),1,""))</f>
        <v/>
      </c>
      <c r="BB31" s="71" t="str">
        <f aca="false">IF(AND($C31="Goal",BB$7&gt;=$F31,BB$7&lt;=$F31+$G31-1),2,IF(AND($C31="Milestone",BB$7&gt;=$F31,BB$7&lt;=$F31+$G31-1),1,""))</f>
        <v/>
      </c>
      <c r="BC31" s="71" t="str">
        <f aca="false">IF(AND($C31="Goal",BC$7&gt;=$F31,BC$7&lt;=$F31+$G31-1),2,IF(AND($C31="Milestone",BC$7&gt;=$F31,BC$7&lt;=$F31+$G31-1),1,""))</f>
        <v/>
      </c>
      <c r="BD31" s="71" t="str">
        <f aca="false">IF(AND($C31="Goal",BD$7&gt;=$F31,BD$7&lt;=$F31+$G31-1),2,IF(AND($C31="Milestone",BD$7&gt;=$F31,BD$7&lt;=$F31+$G31-1),1,""))</f>
        <v/>
      </c>
      <c r="BE31" s="71" t="str">
        <f aca="false">IF(AND($C31="Goal",BE$7&gt;=$F31,BE$7&lt;=$F31+$G31-1),2,IF(AND($C31="Milestone",BE$7&gt;=$F31,BE$7&lt;=$F31+$G31-1),1,""))</f>
        <v/>
      </c>
      <c r="BF31" s="71" t="str">
        <f aca="false">IF(AND($C31="Goal",BF$7&gt;=$F31,BF$7&lt;=$F31+$G31-1),2,IF(AND($C31="Milestone",BF$7&gt;=$F31,BF$7&lt;=$F31+$G31-1),1,""))</f>
        <v/>
      </c>
      <c r="BG31" s="71" t="str">
        <f aca="false">IF(AND($C31="Goal",BG$7&gt;=$F31,BG$7&lt;=$F31+$G31-1),2,IF(AND($C31="Milestone",BG$7&gt;=$F31,BG$7&lt;=$F31+$G31-1),1,""))</f>
        <v/>
      </c>
      <c r="BH31" s="71" t="str">
        <f aca="false">IF(AND($C31="Goal",BH$7&gt;=$F31,BH$7&lt;=$F31+$G31-1),2,IF(AND($C31="Milestone",BH$7&gt;=$F31,BH$7&lt;=$F31+$G31-1),1,""))</f>
        <v/>
      </c>
      <c r="BI31" s="71" t="str">
        <f aca="false">IF(AND($C31="Goal",BI$7&gt;=$F31,BI$7&lt;=$F31+$G31-1),2,IF(AND($C31="Milestone",BI$7&gt;=$F31,BI$7&lt;=$F31+$G31-1),1,""))</f>
        <v/>
      </c>
      <c r="BJ31" s="71" t="str">
        <f aca="false">IF(AND($C31="Goal",BJ$7&gt;=$F31,BJ$7&lt;=$F31+$G31-1),2,IF(AND($C31="Milestone",BJ$7&gt;=$F31,BJ$7&lt;=$F31+$G31-1),1,""))</f>
        <v/>
      </c>
      <c r="BK31" s="71" t="str">
        <f aca="false">IF(AND($C31="Goal",BK$7&gt;=$F31,BK$7&lt;=$F31+$G31-1),2,IF(AND($C31="Milestone",BK$7&gt;=$F31,BK$7&lt;=$F31+$G31-1),1,""))</f>
        <v/>
      </c>
      <c r="BL31" s="71" t="str">
        <f aca="false">IF(AND($C31="Goal",BL$7&gt;=$F31,BL$7&lt;=$F31+$G31-1),2,IF(AND($C31="Milestone",BL$7&gt;=$F31,BL$7&lt;=$F31+$G31-1),1,""))</f>
        <v/>
      </c>
    </row>
    <row r="32" s="25" customFormat="true" ht="39.75" hidden="false" customHeight="true" outlineLevel="0" collapsed="false">
      <c r="A32" s="13"/>
      <c r="B32" s="101" t="s">
        <v>86</v>
      </c>
      <c r="C32" s="67" t="s">
        <v>85</v>
      </c>
      <c r="D32" s="67"/>
      <c r="E32" s="68"/>
      <c r="F32" s="69" t="n">
        <f aca="false">F31+42</f>
        <v>46061</v>
      </c>
      <c r="G32" s="70" t="n">
        <v>1</v>
      </c>
      <c r="H32" s="67"/>
      <c r="I32" s="71" t="str">
        <f aca="false">IF(AND($C32="Goal",I$7&gt;=$F32,I$7&lt;=$F32+$G32-1),2,IF(AND($C32="Milestone",I$7&gt;=$F32,I$7&lt;=$F32+$G32-1),1,""))</f>
        <v/>
      </c>
      <c r="J32" s="71" t="str">
        <f aca="false">IF(AND($C32="Goal",J$7&gt;=$F32,J$7&lt;=$F32+$G32-1),2,IF(AND($C32="Milestone",J$7&gt;=$F32,J$7&lt;=$F32+$G32-1),1,""))</f>
        <v/>
      </c>
      <c r="K32" s="71" t="str">
        <f aca="false">IF(AND($C32="Goal",K$7&gt;=$F32,K$7&lt;=$F32+$G32-1),2,IF(AND($C32="Milestone",K$7&gt;=$F32,K$7&lt;=$F32+$G32-1),1,""))</f>
        <v/>
      </c>
      <c r="L32" s="71" t="str">
        <f aca="false">IF(AND($C32="Goal",L$7&gt;=$F32,L$7&lt;=$F32+$G32-1),2,IF(AND($C32="Milestone",L$7&gt;=$F32,L$7&lt;=$F32+$G32-1),1,""))</f>
        <v/>
      </c>
      <c r="M32" s="71" t="str">
        <f aca="false">IF(AND($C32="Goal",M$7&gt;=$F32,M$7&lt;=$F32+$G32-1),2,IF(AND($C32="Milestone",M$7&gt;=$F32,M$7&lt;=$F32+$G32-1),1,""))</f>
        <v/>
      </c>
      <c r="N32" s="71" t="str">
        <f aca="false">IF(AND($C32="Goal",N$7&gt;=$F32,N$7&lt;=$F32+$G32-1),2,IF(AND($C32="Milestone",N$7&gt;=$F32,N$7&lt;=$F32+$G32-1),1,""))</f>
        <v/>
      </c>
      <c r="O32" s="71" t="str">
        <f aca="false">IF(AND($C32="Goal",O$7&gt;=$F32,O$7&lt;=$F32+$G32-1),2,IF(AND($C32="Milestone",O$7&gt;=$F32,O$7&lt;=$F32+$G32-1),1,""))</f>
        <v/>
      </c>
      <c r="P32" s="71" t="str">
        <f aca="false">IF(AND($C32="Goal",P$7&gt;=$F32,P$7&lt;=$F32+$G32-1),2,IF(AND($C32="Milestone",P$7&gt;=$F32,P$7&lt;=$F32+$G32-1),1,""))</f>
        <v/>
      </c>
      <c r="Q32" s="71" t="str">
        <f aca="false">IF(AND($C32="Goal",Q$7&gt;=$F32,Q$7&lt;=$F32+$G32-1),2,IF(AND($C32="Milestone",Q$7&gt;=$F32,Q$7&lt;=$F32+$G32-1),1,""))</f>
        <v/>
      </c>
      <c r="R32" s="71" t="str">
        <f aca="false">IF(AND($C32="Goal",R$7&gt;=$F32,R$7&lt;=$F32+$G32-1),2,IF(AND($C32="Milestone",R$7&gt;=$F32,R$7&lt;=$F32+$G32-1),1,""))</f>
        <v/>
      </c>
      <c r="S32" s="71" t="str">
        <f aca="false">IF(AND($C32="Goal",S$7&gt;=$F32,S$7&lt;=$F32+$G32-1),2,IF(AND($C32="Milestone",S$7&gt;=$F32,S$7&lt;=$F32+$G32-1),1,""))</f>
        <v/>
      </c>
      <c r="T32" s="71" t="str">
        <f aca="false">IF(AND($C32="Goal",T$7&gt;=$F32,T$7&lt;=$F32+$G32-1),2,IF(AND($C32="Milestone",T$7&gt;=$F32,T$7&lt;=$F32+$G32-1),1,""))</f>
        <v/>
      </c>
      <c r="U32" s="71" t="str">
        <f aca="false">IF(AND($C32="Goal",U$7&gt;=$F32,U$7&lt;=$F32+$G32-1),2,IF(AND($C32="Milestone",U$7&gt;=$F32,U$7&lt;=$F32+$G32-1),1,""))</f>
        <v/>
      </c>
      <c r="V32" s="71" t="str">
        <f aca="false">IF(AND($C32="Goal",V$7&gt;=$F32,V$7&lt;=$F32+$G32-1),2,IF(AND($C32="Milestone",V$7&gt;=$F32,V$7&lt;=$F32+$G32-1),1,""))</f>
        <v/>
      </c>
      <c r="W32" s="71" t="str">
        <f aca="false">IF(AND($C32="Goal",W$7&gt;=$F32,W$7&lt;=$F32+$G32-1),2,IF(AND($C32="Milestone",W$7&gt;=$F32,W$7&lt;=$F32+$G32-1),1,""))</f>
        <v/>
      </c>
      <c r="X32" s="71" t="str">
        <f aca="false">IF(AND($C32="Goal",X$7&gt;=$F32,X$7&lt;=$F32+$G32-1),2,IF(AND($C32="Milestone",X$7&gt;=$F32,X$7&lt;=$F32+$G32-1),1,""))</f>
        <v/>
      </c>
      <c r="Y32" s="71" t="str">
        <f aca="false">IF(AND($C32="Goal",Y$7&gt;=$F32,Y$7&lt;=$F32+$G32-1),2,IF(AND($C32="Milestone",Y$7&gt;=$F32,Y$7&lt;=$F32+$G32-1),1,""))</f>
        <v/>
      </c>
      <c r="Z32" s="71" t="str">
        <f aca="false">IF(AND($C32="Goal",Z$7&gt;=$F32,Z$7&lt;=$F32+$G32-1),2,IF(AND($C32="Milestone",Z$7&gt;=$F32,Z$7&lt;=$F32+$G32-1),1,""))</f>
        <v/>
      </c>
      <c r="AA32" s="71" t="str">
        <f aca="false">IF(AND($C32="Goal",AA$7&gt;=$F32,AA$7&lt;=$F32+$G32-1),2,IF(AND($C32="Milestone",AA$7&gt;=$F32,AA$7&lt;=$F32+$G32-1),1,""))</f>
        <v/>
      </c>
      <c r="AB32" s="71" t="str">
        <f aca="false">IF(AND($C32="Goal",AB$7&gt;=$F32,AB$7&lt;=$F32+$G32-1),2,IF(AND($C32="Milestone",AB$7&gt;=$F32,AB$7&lt;=$F32+$G32-1),1,""))</f>
        <v/>
      </c>
      <c r="AC32" s="71" t="str">
        <f aca="false">IF(AND($C32="Goal",AC$7&gt;=$F32,AC$7&lt;=$F32+$G32-1),2,IF(AND($C32="Milestone",AC$7&gt;=$F32,AC$7&lt;=$F32+$G32-1),1,""))</f>
        <v/>
      </c>
      <c r="AD32" s="71" t="str">
        <f aca="false">IF(AND($C32="Goal",AD$7&gt;=$F32,AD$7&lt;=$F32+$G32-1),2,IF(AND($C32="Milestone",AD$7&gt;=$F32,AD$7&lt;=$F32+$G32-1),1,""))</f>
        <v/>
      </c>
      <c r="AE32" s="71" t="str">
        <f aca="false">IF(AND($C32="Goal",AE$7&gt;=$F32,AE$7&lt;=$F32+$G32-1),2,IF(AND($C32="Milestone",AE$7&gt;=$F32,AE$7&lt;=$F32+$G32-1),1,""))</f>
        <v/>
      </c>
      <c r="AF32" s="71" t="str">
        <f aca="false">IF(AND($C32="Goal",AF$7&gt;=$F32,AF$7&lt;=$F32+$G32-1),2,IF(AND($C32="Milestone",AF$7&gt;=$F32,AF$7&lt;=$F32+$G32-1),1,""))</f>
        <v/>
      </c>
      <c r="AG32" s="71" t="str">
        <f aca="false">IF(AND($C32="Goal",AG$7&gt;=$F32,AG$7&lt;=$F32+$G32-1),2,IF(AND($C32="Milestone",AG$7&gt;=$F32,AG$7&lt;=$F32+$G32-1),1,""))</f>
        <v/>
      </c>
      <c r="AH32" s="71" t="str">
        <f aca="false">IF(AND($C32="Goal",AH$7&gt;=$F32,AH$7&lt;=$F32+$G32-1),2,IF(AND($C32="Milestone",AH$7&gt;=$F32,AH$7&lt;=$F32+$G32-1),1,""))</f>
        <v/>
      </c>
      <c r="AI32" s="71" t="str">
        <f aca="false">IF(AND($C32="Goal",AI$7&gt;=$F32,AI$7&lt;=$F32+$G32-1),2,IF(AND($C32="Milestone",AI$7&gt;=$F32,AI$7&lt;=$F32+$G32-1),1,""))</f>
        <v/>
      </c>
      <c r="AJ32" s="71" t="str">
        <f aca="false">IF(AND($C32="Goal",AJ$7&gt;=$F32,AJ$7&lt;=$F32+$G32-1),2,IF(AND($C32="Milestone",AJ$7&gt;=$F32,AJ$7&lt;=$F32+$G32-1),1,""))</f>
        <v/>
      </c>
      <c r="AK32" s="71" t="str">
        <f aca="false">IF(AND($C32="Goal",AK$7&gt;=$F32,AK$7&lt;=$F32+$G32-1),2,IF(AND($C32="Milestone",AK$7&gt;=$F32,AK$7&lt;=$F32+$G32-1),1,""))</f>
        <v/>
      </c>
      <c r="AL32" s="71" t="str">
        <f aca="false">IF(AND($C32="Goal",AL$7&gt;=$F32,AL$7&lt;=$F32+$G32-1),2,IF(AND($C32="Milestone",AL$7&gt;=$F32,AL$7&lt;=$F32+$G32-1),1,""))</f>
        <v/>
      </c>
      <c r="AM32" s="71" t="str">
        <f aca="false">IF(AND($C32="Goal",AM$7&gt;=$F32,AM$7&lt;=$F32+$G32-1),2,IF(AND($C32="Milestone",AM$7&gt;=$F32,AM$7&lt;=$F32+$G32-1),1,""))</f>
        <v/>
      </c>
      <c r="AN32" s="71" t="str">
        <f aca="false">IF(AND($C32="Goal",AN$7&gt;=$F32,AN$7&lt;=$F32+$G32-1),2,IF(AND($C32="Milestone",AN$7&gt;=$F32,AN$7&lt;=$F32+$G32-1),1,""))</f>
        <v/>
      </c>
      <c r="AO32" s="71" t="str">
        <f aca="false">IF(AND($C32="Goal",AO$7&gt;=$F32,AO$7&lt;=$F32+$G32-1),2,IF(AND($C32="Milestone",AO$7&gt;=$F32,AO$7&lt;=$F32+$G32-1),1,""))</f>
        <v/>
      </c>
      <c r="AP32" s="71" t="str">
        <f aca="false">IF(AND($C32="Goal",AP$7&gt;=$F32,AP$7&lt;=$F32+$G32-1),2,IF(AND($C32="Milestone",AP$7&gt;=$F32,AP$7&lt;=$F32+$G32-1),1,""))</f>
        <v/>
      </c>
      <c r="AQ32" s="71" t="str">
        <f aca="false">IF(AND($C32="Goal",AQ$7&gt;=$F32,AQ$7&lt;=$F32+$G32-1),2,IF(AND($C32="Milestone",AQ$7&gt;=$F32,AQ$7&lt;=$F32+$G32-1),1,""))</f>
        <v/>
      </c>
      <c r="AR32" s="71" t="str">
        <f aca="false">IF(AND($C32="Goal",AR$7&gt;=$F32,AR$7&lt;=$F32+$G32-1),2,IF(AND($C32="Milestone",AR$7&gt;=$F32,AR$7&lt;=$F32+$G32-1),1,""))</f>
        <v/>
      </c>
      <c r="AS32" s="71" t="str">
        <f aca="false">IF(AND($C32="Goal",AS$7&gt;=$F32,AS$7&lt;=$F32+$G32-1),2,IF(AND($C32="Milestone",AS$7&gt;=$F32,AS$7&lt;=$F32+$G32-1),1,""))</f>
        <v/>
      </c>
      <c r="AT32" s="71" t="str">
        <f aca="false">IF(AND($C32="Goal",AT$7&gt;=$F32,AT$7&lt;=$F32+$G32-1),2,IF(AND($C32="Milestone",AT$7&gt;=$F32,AT$7&lt;=$F32+$G32-1),1,""))</f>
        <v/>
      </c>
      <c r="AU32" s="71" t="str">
        <f aca="false">IF(AND($C32="Goal",AU$7&gt;=$F32,AU$7&lt;=$F32+$G32-1),2,IF(AND($C32="Milestone",AU$7&gt;=$F32,AU$7&lt;=$F32+$G32-1),1,""))</f>
        <v/>
      </c>
      <c r="AV32" s="71" t="str">
        <f aca="false">IF(AND($C32="Goal",AV$7&gt;=$F32,AV$7&lt;=$F32+$G32-1),2,IF(AND($C32="Milestone",AV$7&gt;=$F32,AV$7&lt;=$F32+$G32-1),1,""))</f>
        <v/>
      </c>
      <c r="AW32" s="71" t="str">
        <f aca="false">IF(AND($C32="Goal",AW$7&gt;=$F32,AW$7&lt;=$F32+$G32-1),2,IF(AND($C32="Milestone",AW$7&gt;=$F32,AW$7&lt;=$F32+$G32-1),1,""))</f>
        <v/>
      </c>
      <c r="AX32" s="71" t="str">
        <f aca="false">IF(AND($C32="Goal",AX$7&gt;=$F32,AX$7&lt;=$F32+$G32-1),2,IF(AND($C32="Milestone",AX$7&gt;=$F32,AX$7&lt;=$F32+$G32-1),1,""))</f>
        <v/>
      </c>
      <c r="AY32" s="71" t="str">
        <f aca="false">IF(AND($C32="Goal",AY$7&gt;=$F32,AY$7&lt;=$F32+$G32-1),2,IF(AND($C32="Milestone",AY$7&gt;=$F32,AY$7&lt;=$F32+$G32-1),1,""))</f>
        <v/>
      </c>
      <c r="AZ32" s="71" t="str">
        <f aca="false">IF(AND($C32="Goal",AZ$7&gt;=$F32,AZ$7&lt;=$F32+$G32-1),2,IF(AND($C32="Milestone",AZ$7&gt;=$F32,AZ$7&lt;=$F32+$G32-1),1,""))</f>
        <v/>
      </c>
      <c r="BA32" s="71" t="str">
        <f aca="false">IF(AND($C32="Goal",BA$7&gt;=$F32,BA$7&lt;=$F32+$G32-1),2,IF(AND($C32="Milestone",BA$7&gt;=$F32,BA$7&lt;=$F32+$G32-1),1,""))</f>
        <v/>
      </c>
      <c r="BB32" s="71" t="str">
        <f aca="false">IF(AND($C32="Goal",BB$7&gt;=$F32,BB$7&lt;=$F32+$G32-1),2,IF(AND($C32="Milestone",BB$7&gt;=$F32,BB$7&lt;=$F32+$G32-1),1,""))</f>
        <v/>
      </c>
      <c r="BC32" s="71" t="str">
        <f aca="false">IF(AND($C32="Goal",BC$7&gt;=$F32,BC$7&lt;=$F32+$G32-1),2,IF(AND($C32="Milestone",BC$7&gt;=$F32,BC$7&lt;=$F32+$G32-1),1,""))</f>
        <v/>
      </c>
      <c r="BD32" s="71" t="str">
        <f aca="false">IF(AND($C32="Goal",BD$7&gt;=$F32,BD$7&lt;=$F32+$G32-1),2,IF(AND($C32="Milestone",BD$7&gt;=$F32,BD$7&lt;=$F32+$G32-1),1,""))</f>
        <v/>
      </c>
      <c r="BE32" s="71" t="str">
        <f aca="false">IF(AND($C32="Goal",BE$7&gt;=$F32,BE$7&lt;=$F32+$G32-1),2,IF(AND($C32="Milestone",BE$7&gt;=$F32,BE$7&lt;=$F32+$G32-1),1,""))</f>
        <v/>
      </c>
      <c r="BF32" s="71" t="str">
        <f aca="false">IF(AND($C32="Goal",BF$7&gt;=$F32,BF$7&lt;=$F32+$G32-1),2,IF(AND($C32="Milestone",BF$7&gt;=$F32,BF$7&lt;=$F32+$G32-1),1,""))</f>
        <v/>
      </c>
      <c r="BG32" s="71" t="str">
        <f aca="false">IF(AND($C32="Goal",BG$7&gt;=$F32,BG$7&lt;=$F32+$G32-1),2,IF(AND($C32="Milestone",BG$7&gt;=$F32,BG$7&lt;=$F32+$G32-1),1,""))</f>
        <v/>
      </c>
      <c r="BH32" s="71" t="str">
        <f aca="false">IF(AND($C32="Goal",BH$7&gt;=$F32,BH$7&lt;=$F32+$G32-1),2,IF(AND($C32="Milestone",BH$7&gt;=$F32,BH$7&lt;=$F32+$G32-1),1,""))</f>
        <v/>
      </c>
      <c r="BI32" s="71" t="str">
        <f aca="false">IF(AND($C32="Goal",BI$7&gt;=$F32,BI$7&lt;=$F32+$G32-1),2,IF(AND($C32="Milestone",BI$7&gt;=$F32,BI$7&lt;=$F32+$G32-1),1,""))</f>
        <v/>
      </c>
      <c r="BJ32" s="71" t="str">
        <f aca="false">IF(AND($C32="Goal",BJ$7&gt;=$F32,BJ$7&lt;=$F32+$G32-1),2,IF(AND($C32="Milestone",BJ$7&gt;=$F32,BJ$7&lt;=$F32+$G32-1),1,""))</f>
        <v/>
      </c>
      <c r="BK32" s="71" t="str">
        <f aca="false">IF(AND($C32="Goal",BK$7&gt;=$F32,BK$7&lt;=$F32+$G32-1),2,IF(AND($C32="Milestone",BK$7&gt;=$F32,BK$7&lt;=$F32+$G32-1),1,""))</f>
        <v/>
      </c>
      <c r="BL32" s="71" t="str">
        <f aca="false">IF(AND($C32="Goal",BL$7&gt;=$F32,BL$7&lt;=$F32+$G32-1),2,IF(AND($C32="Milestone",BL$7&gt;=$F32,BL$7&lt;=$F32+$G32-1),1,""))</f>
        <v/>
      </c>
    </row>
    <row r="33" s="25" customFormat="true" ht="39.75" hidden="false" customHeight="true" outlineLevel="0" collapsed="false">
      <c r="A33" s="13"/>
      <c r="B33" s="101" t="s">
        <v>87</v>
      </c>
      <c r="C33" s="67"/>
      <c r="D33" s="67"/>
      <c r="E33" s="68"/>
      <c r="F33" s="69"/>
      <c r="G33" s="70"/>
      <c r="H33" s="67"/>
      <c r="I33" s="71" t="str">
        <f aca="false">IF(AND($C33="Goal",I$7&gt;=$F33,I$7&lt;=$F33+$G33-1),2,IF(AND($C33="Milestone",I$7&gt;=$F33,I$7&lt;=$F33+$G33-1),1,""))</f>
        <v/>
      </c>
      <c r="J33" s="71" t="str">
        <f aca="false">IF(AND($C33="Goal",J$7&gt;=$F33,J$7&lt;=$F33+$G33-1),2,IF(AND($C33="Milestone",J$7&gt;=$F33,J$7&lt;=$F33+$G33-1),1,""))</f>
        <v/>
      </c>
      <c r="K33" s="71" t="str">
        <f aca="false">IF(AND($C33="Goal",K$7&gt;=$F33,K$7&lt;=$F33+$G33-1),2,IF(AND($C33="Milestone",K$7&gt;=$F33,K$7&lt;=$F33+$G33-1),1,""))</f>
        <v/>
      </c>
      <c r="L33" s="71" t="str">
        <f aca="false">IF(AND($C33="Goal",L$7&gt;=$F33,L$7&lt;=$F33+$G33-1),2,IF(AND($C33="Milestone",L$7&gt;=$F33,L$7&lt;=$F33+$G33-1),1,""))</f>
        <v/>
      </c>
      <c r="M33" s="71" t="str">
        <f aca="false">IF(AND($C33="Goal",M$7&gt;=$F33,M$7&lt;=$F33+$G33-1),2,IF(AND($C33="Milestone",M$7&gt;=$F33,M$7&lt;=$F33+$G33-1),1,""))</f>
        <v/>
      </c>
      <c r="N33" s="71" t="str">
        <f aca="false">IF(AND($C33="Goal",N$7&gt;=$F33,N$7&lt;=$F33+$G33-1),2,IF(AND($C33="Milestone",N$7&gt;=$F33,N$7&lt;=$F33+$G33-1),1,""))</f>
        <v/>
      </c>
      <c r="O33" s="71" t="str">
        <f aca="false">IF(AND($C33="Goal",O$7&gt;=$F33,O$7&lt;=$F33+$G33-1),2,IF(AND($C33="Milestone",O$7&gt;=$F33,O$7&lt;=$F33+$G33-1),1,""))</f>
        <v/>
      </c>
      <c r="P33" s="71" t="str">
        <f aca="false">IF(AND($C33="Goal",P$7&gt;=$F33,P$7&lt;=$F33+$G33-1),2,IF(AND($C33="Milestone",P$7&gt;=$F33,P$7&lt;=$F33+$G33-1),1,""))</f>
        <v/>
      </c>
      <c r="Q33" s="71" t="str">
        <f aca="false">IF(AND($C33="Goal",Q$7&gt;=$F33,Q$7&lt;=$F33+$G33-1),2,IF(AND($C33="Milestone",Q$7&gt;=$F33,Q$7&lt;=$F33+$G33-1),1,""))</f>
        <v/>
      </c>
      <c r="R33" s="71" t="str">
        <f aca="false">IF(AND($C33="Goal",R$7&gt;=$F33,R$7&lt;=$F33+$G33-1),2,IF(AND($C33="Milestone",R$7&gt;=$F33,R$7&lt;=$F33+$G33-1),1,""))</f>
        <v/>
      </c>
      <c r="S33" s="71" t="str">
        <f aca="false">IF(AND($C33="Goal",S$7&gt;=$F33,S$7&lt;=$F33+$G33-1),2,IF(AND($C33="Milestone",S$7&gt;=$F33,S$7&lt;=$F33+$G33-1),1,""))</f>
        <v/>
      </c>
      <c r="T33" s="71" t="str">
        <f aca="false">IF(AND($C33="Goal",T$7&gt;=$F33,T$7&lt;=$F33+$G33-1),2,IF(AND($C33="Milestone",T$7&gt;=$F33,T$7&lt;=$F33+$G33-1),1,""))</f>
        <v/>
      </c>
      <c r="U33" s="71" t="str">
        <f aca="false">IF(AND($C33="Goal",U$7&gt;=$F33,U$7&lt;=$F33+$G33-1),2,IF(AND($C33="Milestone",U$7&gt;=$F33,U$7&lt;=$F33+$G33-1),1,""))</f>
        <v/>
      </c>
      <c r="V33" s="71" t="str">
        <f aca="false">IF(AND($C33="Goal",V$7&gt;=$F33,V$7&lt;=$F33+$G33-1),2,IF(AND($C33="Milestone",V$7&gt;=$F33,V$7&lt;=$F33+$G33-1),1,""))</f>
        <v/>
      </c>
      <c r="W33" s="71" t="str">
        <f aca="false">IF(AND($C33="Goal",W$7&gt;=$F33,W$7&lt;=$F33+$G33-1),2,IF(AND($C33="Milestone",W$7&gt;=$F33,W$7&lt;=$F33+$G33-1),1,""))</f>
        <v/>
      </c>
      <c r="X33" s="71" t="str">
        <f aca="false">IF(AND($C33="Goal",X$7&gt;=$F33,X$7&lt;=$F33+$G33-1),2,IF(AND($C33="Milestone",X$7&gt;=$F33,X$7&lt;=$F33+$G33-1),1,""))</f>
        <v/>
      </c>
      <c r="Y33" s="71" t="str">
        <f aca="false">IF(AND($C33="Goal",Y$7&gt;=$F33,Y$7&lt;=$F33+$G33-1),2,IF(AND($C33="Milestone",Y$7&gt;=$F33,Y$7&lt;=$F33+$G33-1),1,""))</f>
        <v/>
      </c>
      <c r="Z33" s="71" t="str">
        <f aca="false">IF(AND($C33="Goal",Z$7&gt;=$F33,Z$7&lt;=$F33+$G33-1),2,IF(AND($C33="Milestone",Z$7&gt;=$F33,Z$7&lt;=$F33+$G33-1),1,""))</f>
        <v/>
      </c>
      <c r="AA33" s="71" t="str">
        <f aca="false">IF(AND($C33="Goal",AA$7&gt;=$F33,AA$7&lt;=$F33+$G33-1),2,IF(AND($C33="Milestone",AA$7&gt;=$F33,AA$7&lt;=$F33+$G33-1),1,""))</f>
        <v/>
      </c>
      <c r="AB33" s="71" t="str">
        <f aca="false">IF(AND($C33="Goal",AB$7&gt;=$F33,AB$7&lt;=$F33+$G33-1),2,IF(AND($C33="Milestone",AB$7&gt;=$F33,AB$7&lt;=$F33+$G33-1),1,""))</f>
        <v/>
      </c>
      <c r="AC33" s="71" t="str">
        <f aca="false">IF(AND($C33="Goal",AC$7&gt;=$F33,AC$7&lt;=$F33+$G33-1),2,IF(AND($C33="Milestone",AC$7&gt;=$F33,AC$7&lt;=$F33+$G33-1),1,""))</f>
        <v/>
      </c>
      <c r="AD33" s="71" t="str">
        <f aca="false">IF(AND($C33="Goal",AD$7&gt;=$F33,AD$7&lt;=$F33+$G33-1),2,IF(AND($C33="Milestone",AD$7&gt;=$F33,AD$7&lt;=$F33+$G33-1),1,""))</f>
        <v/>
      </c>
      <c r="AE33" s="71" t="str">
        <f aca="false">IF(AND($C33="Goal",AE$7&gt;=$F33,AE$7&lt;=$F33+$G33-1),2,IF(AND($C33="Milestone",AE$7&gt;=$F33,AE$7&lt;=$F33+$G33-1),1,""))</f>
        <v/>
      </c>
      <c r="AF33" s="71" t="str">
        <f aca="false">IF(AND($C33="Goal",AF$7&gt;=$F33,AF$7&lt;=$F33+$G33-1),2,IF(AND($C33="Milestone",AF$7&gt;=$F33,AF$7&lt;=$F33+$G33-1),1,""))</f>
        <v/>
      </c>
      <c r="AG33" s="71" t="str">
        <f aca="false">IF(AND($C33="Goal",AG$7&gt;=$F33,AG$7&lt;=$F33+$G33-1),2,IF(AND($C33="Milestone",AG$7&gt;=$F33,AG$7&lt;=$F33+$G33-1),1,""))</f>
        <v/>
      </c>
      <c r="AH33" s="71" t="str">
        <f aca="false">IF(AND($C33="Goal",AH$7&gt;=$F33,AH$7&lt;=$F33+$G33-1),2,IF(AND($C33="Milestone",AH$7&gt;=$F33,AH$7&lt;=$F33+$G33-1),1,""))</f>
        <v/>
      </c>
      <c r="AI33" s="71" t="str">
        <f aca="false">IF(AND($C33="Goal",AI$7&gt;=$F33,AI$7&lt;=$F33+$G33-1),2,IF(AND($C33="Milestone",AI$7&gt;=$F33,AI$7&lt;=$F33+$G33-1),1,""))</f>
        <v/>
      </c>
      <c r="AJ33" s="71" t="str">
        <f aca="false">IF(AND($C33="Goal",AJ$7&gt;=$F33,AJ$7&lt;=$F33+$G33-1),2,IF(AND($C33="Milestone",AJ$7&gt;=$F33,AJ$7&lt;=$F33+$G33-1),1,""))</f>
        <v/>
      </c>
      <c r="AK33" s="71" t="str">
        <f aca="false">IF(AND($C33="Goal",AK$7&gt;=$F33,AK$7&lt;=$F33+$G33-1),2,IF(AND($C33="Milestone",AK$7&gt;=$F33,AK$7&lt;=$F33+$G33-1),1,""))</f>
        <v/>
      </c>
      <c r="AL33" s="71" t="str">
        <f aca="false">IF(AND($C33="Goal",AL$7&gt;=$F33,AL$7&lt;=$F33+$G33-1),2,IF(AND($C33="Milestone",AL$7&gt;=$F33,AL$7&lt;=$F33+$G33-1),1,""))</f>
        <v/>
      </c>
      <c r="AM33" s="71" t="str">
        <f aca="false">IF(AND($C33="Goal",AM$7&gt;=$F33,AM$7&lt;=$F33+$G33-1),2,IF(AND($C33="Milestone",AM$7&gt;=$F33,AM$7&lt;=$F33+$G33-1),1,""))</f>
        <v/>
      </c>
      <c r="AN33" s="71" t="str">
        <f aca="false">IF(AND($C33="Goal",AN$7&gt;=$F33,AN$7&lt;=$F33+$G33-1),2,IF(AND($C33="Milestone",AN$7&gt;=$F33,AN$7&lt;=$F33+$G33-1),1,""))</f>
        <v/>
      </c>
      <c r="AO33" s="71" t="str">
        <f aca="false">IF(AND($C33="Goal",AO$7&gt;=$F33,AO$7&lt;=$F33+$G33-1),2,IF(AND($C33="Milestone",AO$7&gt;=$F33,AO$7&lt;=$F33+$G33-1),1,""))</f>
        <v/>
      </c>
      <c r="AP33" s="71" t="str">
        <f aca="false">IF(AND($C33="Goal",AP$7&gt;=$F33,AP$7&lt;=$F33+$G33-1),2,IF(AND($C33="Milestone",AP$7&gt;=$F33,AP$7&lt;=$F33+$G33-1),1,""))</f>
        <v/>
      </c>
      <c r="AQ33" s="71" t="str">
        <f aca="false">IF(AND($C33="Goal",AQ$7&gt;=$F33,AQ$7&lt;=$F33+$G33-1),2,IF(AND($C33="Milestone",AQ$7&gt;=$F33,AQ$7&lt;=$F33+$G33-1),1,""))</f>
        <v/>
      </c>
      <c r="AR33" s="71" t="str">
        <f aca="false">IF(AND($C33="Goal",AR$7&gt;=$F33,AR$7&lt;=$F33+$G33-1),2,IF(AND($C33="Milestone",AR$7&gt;=$F33,AR$7&lt;=$F33+$G33-1),1,""))</f>
        <v/>
      </c>
      <c r="AS33" s="71" t="str">
        <f aca="false">IF(AND($C33="Goal",AS$7&gt;=$F33,AS$7&lt;=$F33+$G33-1),2,IF(AND($C33="Milestone",AS$7&gt;=$F33,AS$7&lt;=$F33+$G33-1),1,""))</f>
        <v/>
      </c>
      <c r="AT33" s="71" t="str">
        <f aca="false">IF(AND($C33="Goal",AT$7&gt;=$F33,AT$7&lt;=$F33+$G33-1),2,IF(AND($C33="Milestone",AT$7&gt;=$F33,AT$7&lt;=$F33+$G33-1),1,""))</f>
        <v/>
      </c>
      <c r="AU33" s="71" t="str">
        <f aca="false">IF(AND($C33="Goal",AU$7&gt;=$F33,AU$7&lt;=$F33+$G33-1),2,IF(AND($C33="Milestone",AU$7&gt;=$F33,AU$7&lt;=$F33+$G33-1),1,""))</f>
        <v/>
      </c>
      <c r="AV33" s="71" t="str">
        <f aca="false">IF(AND($C33="Goal",AV$7&gt;=$F33,AV$7&lt;=$F33+$G33-1),2,IF(AND($C33="Milestone",AV$7&gt;=$F33,AV$7&lt;=$F33+$G33-1),1,""))</f>
        <v/>
      </c>
      <c r="AW33" s="71" t="str">
        <f aca="false">IF(AND($C33="Goal",AW$7&gt;=$F33,AW$7&lt;=$F33+$G33-1),2,IF(AND($C33="Milestone",AW$7&gt;=$F33,AW$7&lt;=$F33+$G33-1),1,""))</f>
        <v/>
      </c>
      <c r="AX33" s="71" t="str">
        <f aca="false">IF(AND($C33="Goal",AX$7&gt;=$F33,AX$7&lt;=$F33+$G33-1),2,IF(AND($C33="Milestone",AX$7&gt;=$F33,AX$7&lt;=$F33+$G33-1),1,""))</f>
        <v/>
      </c>
      <c r="AY33" s="71" t="str">
        <f aca="false">IF(AND($C33="Goal",AY$7&gt;=$F33,AY$7&lt;=$F33+$G33-1),2,IF(AND($C33="Milestone",AY$7&gt;=$F33,AY$7&lt;=$F33+$G33-1),1,""))</f>
        <v/>
      </c>
      <c r="AZ33" s="71" t="str">
        <f aca="false">IF(AND($C33="Goal",AZ$7&gt;=$F33,AZ$7&lt;=$F33+$G33-1),2,IF(AND($C33="Milestone",AZ$7&gt;=$F33,AZ$7&lt;=$F33+$G33-1),1,""))</f>
        <v/>
      </c>
      <c r="BA33" s="71" t="str">
        <f aca="false">IF(AND($C33="Goal",BA$7&gt;=$F33,BA$7&lt;=$F33+$G33-1),2,IF(AND($C33="Milestone",BA$7&gt;=$F33,BA$7&lt;=$F33+$G33-1),1,""))</f>
        <v/>
      </c>
      <c r="BB33" s="71" t="str">
        <f aca="false">IF(AND($C33="Goal",BB$7&gt;=$F33,BB$7&lt;=$F33+$G33-1),2,IF(AND($C33="Milestone",BB$7&gt;=$F33,BB$7&lt;=$F33+$G33-1),1,""))</f>
        <v/>
      </c>
      <c r="BC33" s="71" t="str">
        <f aca="false">IF(AND($C33="Goal",BC$7&gt;=$F33,BC$7&lt;=$F33+$G33-1),2,IF(AND($C33="Milestone",BC$7&gt;=$F33,BC$7&lt;=$F33+$G33-1),1,""))</f>
        <v/>
      </c>
      <c r="BD33" s="71" t="str">
        <f aca="false">IF(AND($C33="Goal",BD$7&gt;=$F33,BD$7&lt;=$F33+$G33-1),2,IF(AND($C33="Milestone",BD$7&gt;=$F33,BD$7&lt;=$F33+$G33-1),1,""))</f>
        <v/>
      </c>
      <c r="BE33" s="71" t="str">
        <f aca="false">IF(AND($C33="Goal",BE$7&gt;=$F33,BE$7&lt;=$F33+$G33-1),2,IF(AND($C33="Milestone",BE$7&gt;=$F33,BE$7&lt;=$F33+$G33-1),1,""))</f>
        <v/>
      </c>
      <c r="BF33" s="71" t="str">
        <f aca="false">IF(AND($C33="Goal",BF$7&gt;=$F33,BF$7&lt;=$F33+$G33-1),2,IF(AND($C33="Milestone",BF$7&gt;=$F33,BF$7&lt;=$F33+$G33-1),1,""))</f>
        <v/>
      </c>
      <c r="BG33" s="71" t="str">
        <f aca="false">IF(AND($C33="Goal",BG$7&gt;=$F33,BG$7&lt;=$F33+$G33-1),2,IF(AND($C33="Milestone",BG$7&gt;=$F33,BG$7&lt;=$F33+$G33-1),1,""))</f>
        <v/>
      </c>
      <c r="BH33" s="71" t="str">
        <f aca="false">IF(AND($C33="Goal",BH$7&gt;=$F33,BH$7&lt;=$F33+$G33-1),2,IF(AND($C33="Milestone",BH$7&gt;=$F33,BH$7&lt;=$F33+$G33-1),1,""))</f>
        <v/>
      </c>
      <c r="BI33" s="71" t="str">
        <f aca="false">IF(AND($C33="Goal",BI$7&gt;=$F33,BI$7&lt;=$F33+$G33-1),2,IF(AND($C33="Milestone",BI$7&gt;=$F33,BI$7&lt;=$F33+$G33-1),1,""))</f>
        <v/>
      </c>
      <c r="BJ33" s="71" t="str">
        <f aca="false">IF(AND($C33="Goal",BJ$7&gt;=$F33,BJ$7&lt;=$F33+$G33-1),2,IF(AND($C33="Milestone",BJ$7&gt;=$F33,BJ$7&lt;=$F33+$G33-1),1,""))</f>
        <v/>
      </c>
      <c r="BK33" s="71" t="str">
        <f aca="false">IF(AND($C33="Goal",BK$7&gt;=$F33,BK$7&lt;=$F33+$G33-1),2,IF(AND($C33="Milestone",BK$7&gt;=$F33,BK$7&lt;=$F33+$G33-1),1,""))</f>
        <v/>
      </c>
      <c r="BL33" s="71" t="str">
        <f aca="false">IF(AND($C33="Goal",BL$7&gt;=$F33,BL$7&lt;=$F33+$G33-1),2,IF(AND($C33="Milestone",BL$7&gt;=$F33,BL$7&lt;=$F33+$G33-1),1,""))</f>
        <v/>
      </c>
    </row>
    <row r="34" s="25" customFormat="true" ht="39.75" hidden="false" customHeight="true" outlineLevel="0" collapsed="false">
      <c r="A34" s="13"/>
      <c r="B34" s="101" t="s">
        <v>88</v>
      </c>
      <c r="C34" s="67"/>
      <c r="D34" s="67"/>
      <c r="E34" s="68"/>
      <c r="F34" s="69"/>
      <c r="G34" s="70"/>
      <c r="H34" s="67"/>
      <c r="I34" s="71" t="str">
        <f aca="false">IF(AND($C34="Goal",I$7&gt;=$F34,I$7&lt;=$F34+$G34-1),2,IF(AND($C34="Milestone",I$7&gt;=$F34,I$7&lt;=$F34+$G34-1),1,""))</f>
        <v/>
      </c>
      <c r="J34" s="71" t="str">
        <f aca="false">IF(AND($C34="Goal",J$7&gt;=$F34,J$7&lt;=$F34+$G34-1),2,IF(AND($C34="Milestone",J$7&gt;=$F34,J$7&lt;=$F34+$G34-1),1,""))</f>
        <v/>
      </c>
      <c r="K34" s="71" t="str">
        <f aca="false">IF(AND($C34="Goal",K$7&gt;=$F34,K$7&lt;=$F34+$G34-1),2,IF(AND($C34="Milestone",K$7&gt;=$F34,K$7&lt;=$F34+$G34-1),1,""))</f>
        <v/>
      </c>
      <c r="L34" s="71" t="str">
        <f aca="false">IF(AND($C34="Goal",L$7&gt;=$F34,L$7&lt;=$F34+$G34-1),2,IF(AND($C34="Milestone",L$7&gt;=$F34,L$7&lt;=$F34+$G34-1),1,""))</f>
        <v/>
      </c>
      <c r="M34" s="71" t="str">
        <f aca="false">IF(AND($C34="Goal",M$7&gt;=$F34,M$7&lt;=$F34+$G34-1),2,IF(AND($C34="Milestone",M$7&gt;=$F34,M$7&lt;=$F34+$G34-1),1,""))</f>
        <v/>
      </c>
      <c r="N34" s="71" t="str">
        <f aca="false">IF(AND($C34="Goal",N$7&gt;=$F34,N$7&lt;=$F34+$G34-1),2,IF(AND($C34="Milestone",N$7&gt;=$F34,N$7&lt;=$F34+$G34-1),1,""))</f>
        <v/>
      </c>
      <c r="O34" s="71" t="str">
        <f aca="false">IF(AND($C34="Goal",O$7&gt;=$F34,O$7&lt;=$F34+$G34-1),2,IF(AND($C34="Milestone",O$7&gt;=$F34,O$7&lt;=$F34+$G34-1),1,""))</f>
        <v/>
      </c>
      <c r="P34" s="71" t="str">
        <f aca="false">IF(AND($C34="Goal",P$7&gt;=$F34,P$7&lt;=$F34+$G34-1),2,IF(AND($C34="Milestone",P$7&gt;=$F34,P$7&lt;=$F34+$G34-1),1,""))</f>
        <v/>
      </c>
      <c r="Q34" s="71" t="str">
        <f aca="false">IF(AND($C34="Goal",Q$7&gt;=$F34,Q$7&lt;=$F34+$G34-1),2,IF(AND($C34="Milestone",Q$7&gt;=$F34,Q$7&lt;=$F34+$G34-1),1,""))</f>
        <v/>
      </c>
      <c r="R34" s="71" t="str">
        <f aca="false">IF(AND($C34="Goal",R$7&gt;=$F34,R$7&lt;=$F34+$G34-1),2,IF(AND($C34="Milestone",R$7&gt;=$F34,R$7&lt;=$F34+$G34-1),1,""))</f>
        <v/>
      </c>
      <c r="S34" s="71" t="str">
        <f aca="false">IF(AND($C34="Goal",S$7&gt;=$F34,S$7&lt;=$F34+$G34-1),2,IF(AND($C34="Milestone",S$7&gt;=$F34,S$7&lt;=$F34+$G34-1),1,""))</f>
        <v/>
      </c>
      <c r="T34" s="71" t="str">
        <f aca="false">IF(AND($C34="Goal",T$7&gt;=$F34,T$7&lt;=$F34+$G34-1),2,IF(AND($C34="Milestone",T$7&gt;=$F34,T$7&lt;=$F34+$G34-1),1,""))</f>
        <v/>
      </c>
      <c r="U34" s="71" t="str">
        <f aca="false">IF(AND($C34="Goal",U$7&gt;=$F34,U$7&lt;=$F34+$G34-1),2,IF(AND($C34="Milestone",U$7&gt;=$F34,U$7&lt;=$F34+$G34-1),1,""))</f>
        <v/>
      </c>
      <c r="V34" s="71" t="str">
        <f aca="false">IF(AND($C34="Goal",V$7&gt;=$F34,V$7&lt;=$F34+$G34-1),2,IF(AND($C34="Milestone",V$7&gt;=$F34,V$7&lt;=$F34+$G34-1),1,""))</f>
        <v/>
      </c>
      <c r="W34" s="71" t="str">
        <f aca="false">IF(AND($C34="Goal",W$7&gt;=$F34,W$7&lt;=$F34+$G34-1),2,IF(AND($C34="Milestone",W$7&gt;=$F34,W$7&lt;=$F34+$G34-1),1,""))</f>
        <v/>
      </c>
      <c r="X34" s="71" t="str">
        <f aca="false">IF(AND($C34="Goal",X$7&gt;=$F34,X$7&lt;=$F34+$G34-1),2,IF(AND($C34="Milestone",X$7&gt;=$F34,X$7&lt;=$F34+$G34-1),1,""))</f>
        <v/>
      </c>
      <c r="Y34" s="71" t="str">
        <f aca="false">IF(AND($C34="Goal",Y$7&gt;=$F34,Y$7&lt;=$F34+$G34-1),2,IF(AND($C34="Milestone",Y$7&gt;=$F34,Y$7&lt;=$F34+$G34-1),1,""))</f>
        <v/>
      </c>
      <c r="Z34" s="71" t="str">
        <f aca="false">IF(AND($C34="Goal",Z$7&gt;=$F34,Z$7&lt;=$F34+$G34-1),2,IF(AND($C34="Milestone",Z$7&gt;=$F34,Z$7&lt;=$F34+$G34-1),1,""))</f>
        <v/>
      </c>
      <c r="AA34" s="71" t="str">
        <f aca="false">IF(AND($C34="Goal",AA$7&gt;=$F34,AA$7&lt;=$F34+$G34-1),2,IF(AND($C34="Milestone",AA$7&gt;=$F34,AA$7&lt;=$F34+$G34-1),1,""))</f>
        <v/>
      </c>
      <c r="AB34" s="71" t="str">
        <f aca="false">IF(AND($C34="Goal",AB$7&gt;=$F34,AB$7&lt;=$F34+$G34-1),2,IF(AND($C34="Milestone",AB$7&gt;=$F34,AB$7&lt;=$F34+$G34-1),1,""))</f>
        <v/>
      </c>
      <c r="AC34" s="71" t="str">
        <f aca="false">IF(AND($C34="Goal",AC$7&gt;=$F34,AC$7&lt;=$F34+$G34-1),2,IF(AND($C34="Milestone",AC$7&gt;=$F34,AC$7&lt;=$F34+$G34-1),1,""))</f>
        <v/>
      </c>
      <c r="AD34" s="71" t="str">
        <f aca="false">IF(AND($C34="Goal",AD$7&gt;=$F34,AD$7&lt;=$F34+$G34-1),2,IF(AND($C34="Milestone",AD$7&gt;=$F34,AD$7&lt;=$F34+$G34-1),1,""))</f>
        <v/>
      </c>
      <c r="AE34" s="71" t="str">
        <f aca="false">IF(AND($C34="Goal",AE$7&gt;=$F34,AE$7&lt;=$F34+$G34-1),2,IF(AND($C34="Milestone",AE$7&gt;=$F34,AE$7&lt;=$F34+$G34-1),1,""))</f>
        <v/>
      </c>
      <c r="AF34" s="71" t="str">
        <f aca="false">IF(AND($C34="Goal",AF$7&gt;=$F34,AF$7&lt;=$F34+$G34-1),2,IF(AND($C34="Milestone",AF$7&gt;=$F34,AF$7&lt;=$F34+$G34-1),1,""))</f>
        <v/>
      </c>
      <c r="AG34" s="71" t="str">
        <f aca="false">IF(AND($C34="Goal",AG$7&gt;=$F34,AG$7&lt;=$F34+$G34-1),2,IF(AND($C34="Milestone",AG$7&gt;=$F34,AG$7&lt;=$F34+$G34-1),1,""))</f>
        <v/>
      </c>
      <c r="AH34" s="71" t="str">
        <f aca="false">IF(AND($C34="Goal",AH$7&gt;=$F34,AH$7&lt;=$F34+$G34-1),2,IF(AND($C34="Milestone",AH$7&gt;=$F34,AH$7&lt;=$F34+$G34-1),1,""))</f>
        <v/>
      </c>
      <c r="AI34" s="71" t="str">
        <f aca="false">IF(AND($C34="Goal",AI$7&gt;=$F34,AI$7&lt;=$F34+$G34-1),2,IF(AND($C34="Milestone",AI$7&gt;=$F34,AI$7&lt;=$F34+$G34-1),1,""))</f>
        <v/>
      </c>
      <c r="AJ34" s="71" t="str">
        <f aca="false">IF(AND($C34="Goal",AJ$7&gt;=$F34,AJ$7&lt;=$F34+$G34-1),2,IF(AND($C34="Milestone",AJ$7&gt;=$F34,AJ$7&lt;=$F34+$G34-1),1,""))</f>
        <v/>
      </c>
      <c r="AK34" s="71" t="str">
        <f aca="false">IF(AND($C34="Goal",AK$7&gt;=$F34,AK$7&lt;=$F34+$G34-1),2,IF(AND($C34="Milestone",AK$7&gt;=$F34,AK$7&lt;=$F34+$G34-1),1,""))</f>
        <v/>
      </c>
      <c r="AL34" s="71" t="str">
        <f aca="false">IF(AND($C34="Goal",AL$7&gt;=$F34,AL$7&lt;=$F34+$G34-1),2,IF(AND($C34="Milestone",AL$7&gt;=$F34,AL$7&lt;=$F34+$G34-1),1,""))</f>
        <v/>
      </c>
      <c r="AM34" s="71" t="str">
        <f aca="false">IF(AND($C34="Goal",AM$7&gt;=$F34,AM$7&lt;=$F34+$G34-1),2,IF(AND($C34="Milestone",AM$7&gt;=$F34,AM$7&lt;=$F34+$G34-1),1,""))</f>
        <v/>
      </c>
      <c r="AN34" s="71" t="str">
        <f aca="false">IF(AND($C34="Goal",AN$7&gt;=$F34,AN$7&lt;=$F34+$G34-1),2,IF(AND($C34="Milestone",AN$7&gt;=$F34,AN$7&lt;=$F34+$G34-1),1,""))</f>
        <v/>
      </c>
      <c r="AO34" s="71" t="str">
        <f aca="false">IF(AND($C34="Goal",AO$7&gt;=$F34,AO$7&lt;=$F34+$G34-1),2,IF(AND($C34="Milestone",AO$7&gt;=$F34,AO$7&lt;=$F34+$G34-1),1,""))</f>
        <v/>
      </c>
      <c r="AP34" s="71" t="str">
        <f aca="false">IF(AND($C34="Goal",AP$7&gt;=$F34,AP$7&lt;=$F34+$G34-1),2,IF(AND($C34="Milestone",AP$7&gt;=$F34,AP$7&lt;=$F34+$G34-1),1,""))</f>
        <v/>
      </c>
      <c r="AQ34" s="71" t="str">
        <f aca="false">IF(AND($C34="Goal",AQ$7&gt;=$F34,AQ$7&lt;=$F34+$G34-1),2,IF(AND($C34="Milestone",AQ$7&gt;=$F34,AQ$7&lt;=$F34+$G34-1),1,""))</f>
        <v/>
      </c>
      <c r="AR34" s="71" t="str">
        <f aca="false">IF(AND($C34="Goal",AR$7&gt;=$F34,AR$7&lt;=$F34+$G34-1),2,IF(AND($C34="Milestone",AR$7&gt;=$F34,AR$7&lt;=$F34+$G34-1),1,""))</f>
        <v/>
      </c>
      <c r="AS34" s="71" t="str">
        <f aca="false">IF(AND($C34="Goal",AS$7&gt;=$F34,AS$7&lt;=$F34+$G34-1),2,IF(AND($C34="Milestone",AS$7&gt;=$F34,AS$7&lt;=$F34+$G34-1),1,""))</f>
        <v/>
      </c>
      <c r="AT34" s="71" t="str">
        <f aca="false">IF(AND($C34="Goal",AT$7&gt;=$F34,AT$7&lt;=$F34+$G34-1),2,IF(AND($C34="Milestone",AT$7&gt;=$F34,AT$7&lt;=$F34+$G34-1),1,""))</f>
        <v/>
      </c>
      <c r="AU34" s="71" t="str">
        <f aca="false">IF(AND($C34="Goal",AU$7&gt;=$F34,AU$7&lt;=$F34+$G34-1),2,IF(AND($C34="Milestone",AU$7&gt;=$F34,AU$7&lt;=$F34+$G34-1),1,""))</f>
        <v/>
      </c>
      <c r="AV34" s="71" t="str">
        <f aca="false">IF(AND($C34="Goal",AV$7&gt;=$F34,AV$7&lt;=$F34+$G34-1),2,IF(AND($C34="Milestone",AV$7&gt;=$F34,AV$7&lt;=$F34+$G34-1),1,""))</f>
        <v/>
      </c>
      <c r="AW34" s="71" t="str">
        <f aca="false">IF(AND($C34="Goal",AW$7&gt;=$F34,AW$7&lt;=$F34+$G34-1),2,IF(AND($C34="Milestone",AW$7&gt;=$F34,AW$7&lt;=$F34+$G34-1),1,""))</f>
        <v/>
      </c>
      <c r="AX34" s="71" t="str">
        <f aca="false">IF(AND($C34="Goal",AX$7&gt;=$F34,AX$7&lt;=$F34+$G34-1),2,IF(AND($C34="Milestone",AX$7&gt;=$F34,AX$7&lt;=$F34+$G34-1),1,""))</f>
        <v/>
      </c>
      <c r="AY34" s="71" t="str">
        <f aca="false">IF(AND($C34="Goal",AY$7&gt;=$F34,AY$7&lt;=$F34+$G34-1),2,IF(AND($C34="Milestone",AY$7&gt;=$F34,AY$7&lt;=$F34+$G34-1),1,""))</f>
        <v/>
      </c>
      <c r="AZ34" s="71" t="str">
        <f aca="false">IF(AND($C34="Goal",AZ$7&gt;=$F34,AZ$7&lt;=$F34+$G34-1),2,IF(AND($C34="Milestone",AZ$7&gt;=$F34,AZ$7&lt;=$F34+$G34-1),1,""))</f>
        <v/>
      </c>
      <c r="BA34" s="71" t="str">
        <f aca="false">IF(AND($C34="Goal",BA$7&gt;=$F34,BA$7&lt;=$F34+$G34-1),2,IF(AND($C34="Milestone",BA$7&gt;=$F34,BA$7&lt;=$F34+$G34-1),1,""))</f>
        <v/>
      </c>
      <c r="BB34" s="71" t="str">
        <f aca="false">IF(AND($C34="Goal",BB$7&gt;=$F34,BB$7&lt;=$F34+$G34-1),2,IF(AND($C34="Milestone",BB$7&gt;=$F34,BB$7&lt;=$F34+$G34-1),1,""))</f>
        <v/>
      </c>
      <c r="BC34" s="71" t="str">
        <f aca="false">IF(AND($C34="Goal",BC$7&gt;=$F34,BC$7&lt;=$F34+$G34-1),2,IF(AND($C34="Milestone",BC$7&gt;=$F34,BC$7&lt;=$F34+$G34-1),1,""))</f>
        <v/>
      </c>
      <c r="BD34" s="71" t="str">
        <f aca="false">IF(AND($C34="Goal",BD$7&gt;=$F34,BD$7&lt;=$F34+$G34-1),2,IF(AND($C34="Milestone",BD$7&gt;=$F34,BD$7&lt;=$F34+$G34-1),1,""))</f>
        <v/>
      </c>
      <c r="BE34" s="71" t="str">
        <f aca="false">IF(AND($C34="Goal",BE$7&gt;=$F34,BE$7&lt;=$F34+$G34-1),2,IF(AND($C34="Milestone",BE$7&gt;=$F34,BE$7&lt;=$F34+$G34-1),1,""))</f>
        <v/>
      </c>
      <c r="BF34" s="71" t="str">
        <f aca="false">IF(AND($C34="Goal",BF$7&gt;=$F34,BF$7&lt;=$F34+$G34-1),2,IF(AND($C34="Milestone",BF$7&gt;=$F34,BF$7&lt;=$F34+$G34-1),1,""))</f>
        <v/>
      </c>
      <c r="BG34" s="71" t="str">
        <f aca="false">IF(AND($C34="Goal",BG$7&gt;=$F34,BG$7&lt;=$F34+$G34-1),2,IF(AND($C34="Milestone",BG$7&gt;=$F34,BG$7&lt;=$F34+$G34-1),1,""))</f>
        <v/>
      </c>
      <c r="BH34" s="71" t="str">
        <f aca="false">IF(AND($C34="Goal",BH$7&gt;=$F34,BH$7&lt;=$F34+$G34-1),2,IF(AND($C34="Milestone",BH$7&gt;=$F34,BH$7&lt;=$F34+$G34-1),1,""))</f>
        <v/>
      </c>
      <c r="BI34" s="71" t="str">
        <f aca="false">IF(AND($C34="Goal",BI$7&gt;=$F34,BI$7&lt;=$F34+$G34-1),2,IF(AND($C34="Milestone",BI$7&gt;=$F34,BI$7&lt;=$F34+$G34-1),1,""))</f>
        <v/>
      </c>
      <c r="BJ34" s="71" t="str">
        <f aca="false">IF(AND($C34="Goal",BJ$7&gt;=$F34,BJ$7&lt;=$F34+$G34-1),2,IF(AND($C34="Milestone",BJ$7&gt;=$F34,BJ$7&lt;=$F34+$G34-1),1,""))</f>
        <v/>
      </c>
      <c r="BK34" s="71" t="str">
        <f aca="false">IF(AND($C34="Goal",BK$7&gt;=$F34,BK$7&lt;=$F34+$G34-1),2,IF(AND($C34="Milestone",BK$7&gt;=$F34,BK$7&lt;=$F34+$G34-1),1,""))</f>
        <v/>
      </c>
      <c r="BL34" s="71" t="str">
        <f aca="false">IF(AND($C34="Goal",BL$7&gt;=$F34,BL$7&lt;=$F34+$G34-1),2,IF(AND($C34="Milestone",BL$7&gt;=$F34,BL$7&lt;=$F34+$G34-1),1,""))</f>
        <v/>
      </c>
    </row>
    <row r="35" s="25" customFormat="true" ht="39.75" hidden="false" customHeight="true" outlineLevel="0" collapsed="false">
      <c r="A35" s="13"/>
      <c r="B35" s="101"/>
      <c r="C35" s="67"/>
      <c r="D35" s="67"/>
      <c r="E35" s="68"/>
      <c r="F35" s="69"/>
      <c r="G35" s="70"/>
      <c r="H35" s="67"/>
      <c r="I35" s="71" t="str">
        <f aca="false">IF(AND($C35="Goal",I$7&gt;=$F35,I$7&lt;=$F35+$G35-1),2,IF(AND($C35="Milestone",I$7&gt;=$F35,I$7&lt;=$F35+$G35-1),1,""))</f>
        <v/>
      </c>
      <c r="J35" s="71" t="str">
        <f aca="false">IF(AND($C35="Goal",J$7&gt;=$F35,J$7&lt;=$F35+$G35-1),2,IF(AND($C35="Milestone",J$7&gt;=$F35,J$7&lt;=$F35+$G35-1),1,""))</f>
        <v/>
      </c>
      <c r="K35" s="71" t="str">
        <f aca="false">IF(AND($C35="Goal",K$7&gt;=$F35,K$7&lt;=$F35+$G35-1),2,IF(AND($C35="Milestone",K$7&gt;=$F35,K$7&lt;=$F35+$G35-1),1,""))</f>
        <v/>
      </c>
      <c r="L35" s="71" t="str">
        <f aca="false">IF(AND($C35="Goal",L$7&gt;=$F35,L$7&lt;=$F35+$G35-1),2,IF(AND($C35="Milestone",L$7&gt;=$F35,L$7&lt;=$F35+$G35-1),1,""))</f>
        <v/>
      </c>
      <c r="M35" s="71" t="str">
        <f aca="false">IF(AND($C35="Goal",M$7&gt;=$F35,M$7&lt;=$F35+$G35-1),2,IF(AND($C35="Milestone",M$7&gt;=$F35,M$7&lt;=$F35+$G35-1),1,""))</f>
        <v/>
      </c>
      <c r="N35" s="71" t="str">
        <f aca="false">IF(AND($C35="Goal",N$7&gt;=$F35,N$7&lt;=$F35+$G35-1),2,IF(AND($C35="Milestone",N$7&gt;=$F35,N$7&lt;=$F35+$G35-1),1,""))</f>
        <v/>
      </c>
      <c r="O35" s="71" t="str">
        <f aca="false">IF(AND($C35="Goal",O$7&gt;=$F35,O$7&lt;=$F35+$G35-1),2,IF(AND($C35="Milestone",O$7&gt;=$F35,O$7&lt;=$F35+$G35-1),1,""))</f>
        <v/>
      </c>
      <c r="P35" s="71" t="str">
        <f aca="false">IF(AND($C35="Goal",P$7&gt;=$F35,P$7&lt;=$F35+$G35-1),2,IF(AND($C35="Milestone",P$7&gt;=$F35,P$7&lt;=$F35+$G35-1),1,""))</f>
        <v/>
      </c>
      <c r="Q35" s="71" t="str">
        <f aca="false">IF(AND($C35="Goal",Q$7&gt;=$F35,Q$7&lt;=$F35+$G35-1),2,IF(AND($C35="Milestone",Q$7&gt;=$F35,Q$7&lt;=$F35+$G35-1),1,""))</f>
        <v/>
      </c>
      <c r="R35" s="71" t="str">
        <f aca="false">IF(AND($C35="Goal",R$7&gt;=$F35,R$7&lt;=$F35+$G35-1),2,IF(AND($C35="Milestone",R$7&gt;=$F35,R$7&lt;=$F35+$G35-1),1,""))</f>
        <v/>
      </c>
      <c r="S35" s="71" t="str">
        <f aca="false">IF(AND($C35="Goal",S$7&gt;=$F35,S$7&lt;=$F35+$G35-1),2,IF(AND($C35="Milestone",S$7&gt;=$F35,S$7&lt;=$F35+$G35-1),1,""))</f>
        <v/>
      </c>
      <c r="T35" s="71" t="str">
        <f aca="false">IF(AND($C35="Goal",T$7&gt;=$F35,T$7&lt;=$F35+$G35-1),2,IF(AND($C35="Milestone",T$7&gt;=$F35,T$7&lt;=$F35+$G35-1),1,""))</f>
        <v/>
      </c>
      <c r="U35" s="71" t="str">
        <f aca="false">IF(AND($C35="Goal",U$7&gt;=$F35,U$7&lt;=$F35+$G35-1),2,IF(AND($C35="Milestone",U$7&gt;=$F35,U$7&lt;=$F35+$G35-1),1,""))</f>
        <v/>
      </c>
      <c r="V35" s="71" t="str">
        <f aca="false">IF(AND($C35="Goal",V$7&gt;=$F35,V$7&lt;=$F35+$G35-1),2,IF(AND($C35="Milestone",V$7&gt;=$F35,V$7&lt;=$F35+$G35-1),1,""))</f>
        <v/>
      </c>
      <c r="W35" s="71" t="str">
        <f aca="false">IF(AND($C35="Goal",W$7&gt;=$F35,W$7&lt;=$F35+$G35-1),2,IF(AND($C35="Milestone",W$7&gt;=$F35,W$7&lt;=$F35+$G35-1),1,""))</f>
        <v/>
      </c>
      <c r="X35" s="71" t="str">
        <f aca="false">IF(AND($C35="Goal",X$7&gt;=$F35,X$7&lt;=$F35+$G35-1),2,IF(AND($C35="Milestone",X$7&gt;=$F35,X$7&lt;=$F35+$G35-1),1,""))</f>
        <v/>
      </c>
      <c r="Y35" s="71" t="str">
        <f aca="false">IF(AND($C35="Goal",Y$7&gt;=$F35,Y$7&lt;=$F35+$G35-1),2,IF(AND($C35="Milestone",Y$7&gt;=$F35,Y$7&lt;=$F35+$G35-1),1,""))</f>
        <v/>
      </c>
      <c r="Z35" s="71" t="str">
        <f aca="false">IF(AND($C35="Goal",Z$7&gt;=$F35,Z$7&lt;=$F35+$G35-1),2,IF(AND($C35="Milestone",Z$7&gt;=$F35,Z$7&lt;=$F35+$G35-1),1,""))</f>
        <v/>
      </c>
      <c r="AA35" s="71" t="str">
        <f aca="false">IF(AND($C35="Goal",AA$7&gt;=$F35,AA$7&lt;=$F35+$G35-1),2,IF(AND($C35="Milestone",AA$7&gt;=$F35,AA$7&lt;=$F35+$G35-1),1,""))</f>
        <v/>
      </c>
      <c r="AB35" s="71" t="str">
        <f aca="false">IF(AND($C35="Goal",AB$7&gt;=$F35,AB$7&lt;=$F35+$G35-1),2,IF(AND($C35="Milestone",AB$7&gt;=$F35,AB$7&lt;=$F35+$G35-1),1,""))</f>
        <v/>
      </c>
      <c r="AC35" s="71" t="str">
        <f aca="false">IF(AND($C35="Goal",AC$7&gt;=$F35,AC$7&lt;=$F35+$G35-1),2,IF(AND($C35="Milestone",AC$7&gt;=$F35,AC$7&lt;=$F35+$G35-1),1,""))</f>
        <v/>
      </c>
      <c r="AD35" s="71" t="str">
        <f aca="false">IF(AND($C35="Goal",AD$7&gt;=$F35,AD$7&lt;=$F35+$G35-1),2,IF(AND($C35="Milestone",AD$7&gt;=$F35,AD$7&lt;=$F35+$G35-1),1,""))</f>
        <v/>
      </c>
      <c r="AE35" s="71" t="str">
        <f aca="false">IF(AND($C35="Goal",AE$7&gt;=$F35,AE$7&lt;=$F35+$G35-1),2,IF(AND($C35="Milestone",AE$7&gt;=$F35,AE$7&lt;=$F35+$G35-1),1,""))</f>
        <v/>
      </c>
      <c r="AF35" s="71" t="str">
        <f aca="false">IF(AND($C35="Goal",AF$7&gt;=$F35,AF$7&lt;=$F35+$G35-1),2,IF(AND($C35="Milestone",AF$7&gt;=$F35,AF$7&lt;=$F35+$G35-1),1,""))</f>
        <v/>
      </c>
      <c r="AG35" s="71" t="str">
        <f aca="false">IF(AND($C35="Goal",AG$7&gt;=$F35,AG$7&lt;=$F35+$G35-1),2,IF(AND($C35="Milestone",AG$7&gt;=$F35,AG$7&lt;=$F35+$G35-1),1,""))</f>
        <v/>
      </c>
      <c r="AH35" s="71" t="str">
        <f aca="false">IF(AND($C35="Goal",AH$7&gt;=$F35,AH$7&lt;=$F35+$G35-1),2,IF(AND($C35="Milestone",AH$7&gt;=$F35,AH$7&lt;=$F35+$G35-1),1,""))</f>
        <v/>
      </c>
      <c r="AI35" s="71" t="str">
        <f aca="false">IF(AND($C35="Goal",AI$7&gt;=$F35,AI$7&lt;=$F35+$G35-1),2,IF(AND($C35="Milestone",AI$7&gt;=$F35,AI$7&lt;=$F35+$G35-1),1,""))</f>
        <v/>
      </c>
      <c r="AJ35" s="71" t="str">
        <f aca="false">IF(AND($C35="Goal",AJ$7&gt;=$F35,AJ$7&lt;=$F35+$G35-1),2,IF(AND($C35="Milestone",AJ$7&gt;=$F35,AJ$7&lt;=$F35+$G35-1),1,""))</f>
        <v/>
      </c>
      <c r="AK35" s="71" t="str">
        <f aca="false">IF(AND($C35="Goal",AK$7&gt;=$F35,AK$7&lt;=$F35+$G35-1),2,IF(AND($C35="Milestone",AK$7&gt;=$F35,AK$7&lt;=$F35+$G35-1),1,""))</f>
        <v/>
      </c>
      <c r="AL35" s="71" t="str">
        <f aca="false">IF(AND($C35="Goal",AL$7&gt;=$F35,AL$7&lt;=$F35+$G35-1),2,IF(AND($C35="Milestone",AL$7&gt;=$F35,AL$7&lt;=$F35+$G35-1),1,""))</f>
        <v/>
      </c>
      <c r="AM35" s="71" t="str">
        <f aca="false">IF(AND($C35="Goal",AM$7&gt;=$F35,AM$7&lt;=$F35+$G35-1),2,IF(AND($C35="Milestone",AM$7&gt;=$F35,AM$7&lt;=$F35+$G35-1),1,""))</f>
        <v/>
      </c>
      <c r="AN35" s="71" t="str">
        <f aca="false">IF(AND($C35="Goal",AN$7&gt;=$F35,AN$7&lt;=$F35+$G35-1),2,IF(AND($C35="Milestone",AN$7&gt;=$F35,AN$7&lt;=$F35+$G35-1),1,""))</f>
        <v/>
      </c>
      <c r="AO35" s="71" t="str">
        <f aca="false">IF(AND($C35="Goal",AO$7&gt;=$F35,AO$7&lt;=$F35+$G35-1),2,IF(AND($C35="Milestone",AO$7&gt;=$F35,AO$7&lt;=$F35+$G35-1),1,""))</f>
        <v/>
      </c>
      <c r="AP35" s="71" t="str">
        <f aca="false">IF(AND($C35="Goal",AP$7&gt;=$F35,AP$7&lt;=$F35+$G35-1),2,IF(AND($C35="Milestone",AP$7&gt;=$F35,AP$7&lt;=$F35+$G35-1),1,""))</f>
        <v/>
      </c>
      <c r="AQ35" s="71" t="str">
        <f aca="false">IF(AND($C35="Goal",AQ$7&gt;=$F35,AQ$7&lt;=$F35+$G35-1),2,IF(AND($C35="Milestone",AQ$7&gt;=$F35,AQ$7&lt;=$F35+$G35-1),1,""))</f>
        <v/>
      </c>
      <c r="AR35" s="71" t="str">
        <f aca="false">IF(AND($C35="Goal",AR$7&gt;=$F35,AR$7&lt;=$F35+$G35-1),2,IF(AND($C35="Milestone",AR$7&gt;=$F35,AR$7&lt;=$F35+$G35-1),1,""))</f>
        <v/>
      </c>
      <c r="AS35" s="71" t="str">
        <f aca="false">IF(AND($C35="Goal",AS$7&gt;=$F35,AS$7&lt;=$F35+$G35-1),2,IF(AND($C35="Milestone",AS$7&gt;=$F35,AS$7&lt;=$F35+$G35-1),1,""))</f>
        <v/>
      </c>
      <c r="AT35" s="71" t="str">
        <f aca="false">IF(AND($C35="Goal",AT$7&gt;=$F35,AT$7&lt;=$F35+$G35-1),2,IF(AND($C35="Milestone",AT$7&gt;=$F35,AT$7&lt;=$F35+$G35-1),1,""))</f>
        <v/>
      </c>
      <c r="AU35" s="71" t="str">
        <f aca="false">IF(AND($C35="Goal",AU$7&gt;=$F35,AU$7&lt;=$F35+$G35-1),2,IF(AND($C35="Milestone",AU$7&gt;=$F35,AU$7&lt;=$F35+$G35-1),1,""))</f>
        <v/>
      </c>
      <c r="AV35" s="71" t="str">
        <f aca="false">IF(AND($C35="Goal",AV$7&gt;=$F35,AV$7&lt;=$F35+$G35-1),2,IF(AND($C35="Milestone",AV$7&gt;=$F35,AV$7&lt;=$F35+$G35-1),1,""))</f>
        <v/>
      </c>
      <c r="AW35" s="71" t="str">
        <f aca="false">IF(AND($C35="Goal",AW$7&gt;=$F35,AW$7&lt;=$F35+$G35-1),2,IF(AND($C35="Milestone",AW$7&gt;=$F35,AW$7&lt;=$F35+$G35-1),1,""))</f>
        <v/>
      </c>
      <c r="AX35" s="71" t="str">
        <f aca="false">IF(AND($C35="Goal",AX$7&gt;=$F35,AX$7&lt;=$F35+$G35-1),2,IF(AND($C35="Milestone",AX$7&gt;=$F35,AX$7&lt;=$F35+$G35-1),1,""))</f>
        <v/>
      </c>
      <c r="AY35" s="71" t="str">
        <f aca="false">IF(AND($C35="Goal",AY$7&gt;=$F35,AY$7&lt;=$F35+$G35-1),2,IF(AND($C35="Milestone",AY$7&gt;=$F35,AY$7&lt;=$F35+$G35-1),1,""))</f>
        <v/>
      </c>
      <c r="AZ35" s="71" t="str">
        <f aca="false">IF(AND($C35="Goal",AZ$7&gt;=$F35,AZ$7&lt;=$F35+$G35-1),2,IF(AND($C35="Milestone",AZ$7&gt;=$F35,AZ$7&lt;=$F35+$G35-1),1,""))</f>
        <v/>
      </c>
      <c r="BA35" s="71" t="str">
        <f aca="false">IF(AND($C35="Goal",BA$7&gt;=$F35,BA$7&lt;=$F35+$G35-1),2,IF(AND($C35="Milestone",BA$7&gt;=$F35,BA$7&lt;=$F35+$G35-1),1,""))</f>
        <v/>
      </c>
      <c r="BB35" s="71" t="str">
        <f aca="false">IF(AND($C35="Goal",BB$7&gt;=$F35,BB$7&lt;=$F35+$G35-1),2,IF(AND($C35="Milestone",BB$7&gt;=$F35,BB$7&lt;=$F35+$G35-1),1,""))</f>
        <v/>
      </c>
      <c r="BC35" s="71" t="str">
        <f aca="false">IF(AND($C35="Goal",BC$7&gt;=$F35,BC$7&lt;=$F35+$G35-1),2,IF(AND($C35="Milestone",BC$7&gt;=$F35,BC$7&lt;=$F35+$G35-1),1,""))</f>
        <v/>
      </c>
      <c r="BD35" s="71" t="str">
        <f aca="false">IF(AND($C35="Goal",BD$7&gt;=$F35,BD$7&lt;=$F35+$G35-1),2,IF(AND($C35="Milestone",BD$7&gt;=$F35,BD$7&lt;=$F35+$G35-1),1,""))</f>
        <v/>
      </c>
      <c r="BE35" s="71" t="str">
        <f aca="false">IF(AND($C35="Goal",BE$7&gt;=$F35,BE$7&lt;=$F35+$G35-1),2,IF(AND($C35="Milestone",BE$7&gt;=$F35,BE$7&lt;=$F35+$G35-1),1,""))</f>
        <v/>
      </c>
      <c r="BF35" s="71" t="str">
        <f aca="false">IF(AND($C35="Goal",BF$7&gt;=$F35,BF$7&lt;=$F35+$G35-1),2,IF(AND($C35="Milestone",BF$7&gt;=$F35,BF$7&lt;=$F35+$G35-1),1,""))</f>
        <v/>
      </c>
      <c r="BG35" s="71" t="str">
        <f aca="false">IF(AND($C35="Goal",BG$7&gt;=$F35,BG$7&lt;=$F35+$G35-1),2,IF(AND($C35="Milestone",BG$7&gt;=$F35,BG$7&lt;=$F35+$G35-1),1,""))</f>
        <v/>
      </c>
      <c r="BH35" s="71" t="str">
        <f aca="false">IF(AND($C35="Goal",BH$7&gt;=$F35,BH$7&lt;=$F35+$G35-1),2,IF(AND($C35="Milestone",BH$7&gt;=$F35,BH$7&lt;=$F35+$G35-1),1,""))</f>
        <v/>
      </c>
      <c r="BI35" s="71" t="str">
        <f aca="false">IF(AND($C35="Goal",BI$7&gt;=$F35,BI$7&lt;=$F35+$G35-1),2,IF(AND($C35="Milestone",BI$7&gt;=$F35,BI$7&lt;=$F35+$G35-1),1,""))</f>
        <v/>
      </c>
      <c r="BJ35" s="71" t="str">
        <f aca="false">IF(AND($C35="Goal",BJ$7&gt;=$F35,BJ$7&lt;=$F35+$G35-1),2,IF(AND($C35="Milestone",BJ$7&gt;=$F35,BJ$7&lt;=$F35+$G35-1),1,""))</f>
        <v/>
      </c>
      <c r="BK35" s="71" t="str">
        <f aca="false">IF(AND($C35="Goal",BK$7&gt;=$F35,BK$7&lt;=$F35+$G35-1),2,IF(AND($C35="Milestone",BK$7&gt;=$F35,BK$7&lt;=$F35+$G35-1),1,""))</f>
        <v/>
      </c>
      <c r="BL35" s="71" t="str">
        <f aca="false">IF(AND($C35="Goal",BL$7&gt;=$F35,BL$7&lt;=$F35+$G35-1),2,IF(AND($C35="Milestone",BL$7&gt;=$F35,BL$7&lt;=$F35+$G35-1),1,""))</f>
        <v/>
      </c>
      <c r="BM35" s="97"/>
    </row>
    <row r="36" s="25" customFormat="true" ht="39.75" hidden="false" customHeight="true" outlineLevel="0" collapsed="false">
      <c r="A36" s="15"/>
      <c r="B36" s="102" t="s">
        <v>93</v>
      </c>
      <c r="C36" s="67"/>
      <c r="D36" s="67"/>
      <c r="E36" s="29"/>
      <c r="F36" s="69"/>
      <c r="G36" s="70"/>
      <c r="H36" s="67"/>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row>
    <row r="37" customFormat="false" ht="30" hidden="false" customHeight="true" outlineLevel="0" collapsed="false">
      <c r="D37" s="103"/>
      <c r="G37" s="104"/>
      <c r="H37" s="98"/>
    </row>
    <row r="38" customFormat="false" ht="30" hidden="false" customHeight="true" outlineLevel="0" collapsed="false">
      <c r="D38" s="105"/>
    </row>
  </sheetData>
  <mergeCells count="8">
    <mergeCell ref="B2:H2"/>
    <mergeCell ref="I2:N2"/>
    <mergeCell ref="O2:T2"/>
    <mergeCell ref="I4:L4"/>
    <mergeCell ref="N4:Q4"/>
    <mergeCell ref="S4:V4"/>
    <mergeCell ref="X4:AA4"/>
    <mergeCell ref="AC4:AF4"/>
  </mergeCells>
  <conditionalFormatting sqref="I7:BL36">
    <cfRule type="expression" priority="2" aboveAverage="0" equalAverage="0" bottom="0" percent="0" rank="0" text="" dxfId="67">
      <formula>AND(TODAY()&gt;=I$7,TODAY()&lt;J$7)</formula>
    </cfRule>
  </conditionalFormatting>
  <conditionalFormatting sqref="I6:BL6">
    <cfRule type="expression" priority="3" aboveAverage="0" equalAverage="0" bottom="0" percent="0" rank="0" text="" dxfId="68">
      <formula>AND(I$7&lt;=EOMONTH($I$7,1),I$7&gt;EOMONTH($I$7,0))</formula>
    </cfRule>
  </conditionalFormatting>
  <conditionalFormatting sqref="J6:BL6">
    <cfRule type="expression" priority="4" aboveAverage="0" equalAverage="0" bottom="0" percent="0" rank="0" text="" dxfId="69">
      <formula>AND(J$7&lt;=EOMONTH($I$7,2),J$7&gt;EOMONTH($I$7,0),J$7&gt;EOMONTH($I$7,1))</formula>
    </cfRule>
  </conditionalFormatting>
  <conditionalFormatting sqref="I6:AM6">
    <cfRule type="expression" priority="5" aboveAverage="0" equalAverage="0" bottom="0" percent="0" rank="0" text="" dxfId="70">
      <formula>I$7&lt;=EOMONTH($I$7,0)</formula>
    </cfRule>
  </conditionalFormatting>
  <conditionalFormatting sqref="E9:E36">
    <cfRule type="dataBar" priority="6">
      <dataBar showValue="1" minLength="10" maxLength="90">
        <cfvo type="num" val="0"/>
        <cfvo type="num" val="1"/>
        <color rgb="FF93E2FF"/>
      </dataBar>
      <extLst>
        <ext xmlns:x14="http://schemas.microsoft.com/office/spreadsheetml/2009/9/main" uri="{B025F937-C7B1-47D3-B67F-A62EFF666E3E}">
          <x14:id>{8E821938-A7B8-4AF3-8DD6-549519B1FE3A}</x14:id>
        </ext>
      </extLst>
    </cfRule>
  </conditionalFormatting>
  <conditionalFormatting sqref="I10:BL35">
    <cfRule type="expression" priority="8" aboveAverage="0" equalAverage="0" bottom="0" percent="0" rank="0" text="" dxfId="71">
      <formula>AND($C10="Low Risk",I$7&gt;=$F10,I$7&lt;=$F10+$G10-1)</formula>
    </cfRule>
    <cfRule type="expression" priority="9" aboveAverage="0" equalAverage="0" bottom="0" percent="0" rank="0" text="" dxfId="72">
      <formula>AND($C10="High Risk",I$7&gt;=$F10,I$7&lt;=$F10+$G10-1)</formula>
    </cfRule>
    <cfRule type="expression" priority="10" aboveAverage="0" equalAverage="0" bottom="0" percent="0" rank="0" text="" dxfId="73">
      <formula>AND($C10="On Track",I$7&gt;=$F10,I$7&lt;=$F10+$G10-1)</formula>
    </cfRule>
    <cfRule type="expression" priority="11" aboveAverage="0" equalAverage="0" bottom="0" percent="0" rank="0" text="" dxfId="74">
      <formula>AND($C10="Med Risk",I$7&gt;=$F10,I$7&lt;=$F10+$G10-1)</formula>
    </cfRule>
    <cfRule type="expression" priority="12" aboveAverage="0" equalAverage="0" bottom="0" percent="0" rank="0" text="" dxfId="75">
      <formula>AND(LEN($C10)=0,I$7&gt;=$F10,I$7&lt;=$F10+$G10-1)</formula>
    </cfRule>
  </conditionalFormatting>
  <conditionalFormatting sqref="I36:BL36">
    <cfRule type="expression" priority="14" aboveAverage="0" equalAverage="0" bottom="0" percent="0" rank="0" text="" dxfId="76">
      <formula>AND(#ref!="Low Risk",I$7&gt;=#ref!,I$7&lt;=#ref!+#ref!-1)</formula>
    </cfRule>
    <cfRule type="expression" priority="15" aboveAverage="0" equalAverage="0" bottom="0" percent="0" rank="0" text="" dxfId="77">
      <formula>AND(#ref!="High Risk",I$7&gt;=#ref!,I$7&lt;=#ref!+#ref!-1)</formula>
    </cfRule>
    <cfRule type="expression" priority="16" aboveAverage="0" equalAverage="0" bottom="0" percent="0" rank="0" text="" dxfId="78">
      <formula>AND(#ref!="On Track",I$7&gt;=#ref!,I$7&lt;=#ref!+#ref!-1)</formula>
    </cfRule>
    <cfRule type="expression" priority="17" aboveAverage="0" equalAverage="0" bottom="0" percent="0" rank="0" text="" dxfId="79">
      <formula>AND(#ref!="Med Risk",I$7&gt;=#ref!,I$7&lt;=#ref!+#ref!-1)</formula>
    </cfRule>
    <cfRule type="expression" priority="18" aboveAverage="0" equalAverage="0" bottom="0" percent="0" rank="0" text="" dxfId="80">
      <formula>AND(LEN(#ref!)=0,I$7&gt;=#ref!,I$7&lt;=#ref!+#ref!-1)</formula>
    </cfRule>
  </conditionalFormatting>
  <dataValidations count="13">
    <dataValidation allowBlank="true" errorStyle="stop" operator="greaterThanOrEqual" prompt="Changing this number will scroll the Gantt Chart view." promptTitle="Scrolling Increment" showDropDown="false" showErrorMessage="false" showInputMessage="true" sqref="C7" type="whole">
      <formula1>0</formula1>
      <formula2>0</formula2>
    </dataValidation>
    <dataValidation allowBlank="true" errorStyle="stop" operator="between" showDropDown="false" showErrorMessage="true" showInputMessage="true" sqref="C10 C12:C35" type="list">
      <formula1>"Goal,Milestone,On Track,Low Risk,Med Risk,High Risk"</formula1>
      <formula2>0</formula2>
    </dataValidation>
    <dataValidation allowBlank="true" errorStyle="stop" operator="between" showDropDown="false" showErrorMessage="false" showInputMessage="true" sqref="C11" type="list">
      <formula1>"Goal,Milestone,On Track,Low Risk,Med Risk,High Risk"</formula1>
      <formula2>0</formula2>
    </dataValidation>
    <dataValidation allowBlank="true" errorStyle="stop" operator="between" prompt="Enter title of this project in cell B2. &#10;Information about how to use this worksheet, including instructions for screen readers and the author of this workbook is in the About worksheet.&#10;Continue navigating down column A to hear further instructions." promptTitle="Create a Gantt Chart " showDropDown="false" showErrorMessage="true" showInputMessage="true" sqref="A2" type="none">
      <formula1>0</formula1>
      <formula2>0</formula2>
    </dataValidation>
    <dataValidation allowBlank="true" errorStyle="stop" operator="between" prompt="Enter Company Name in cell B4.&#10;A legend is in cells I4 through AC4.  The Legend label is in cell G4." showDropDown="false" showErrorMessage="true" showInputMessage="true" sqref="A4" type="none">
      <formula1>0</formula1>
      <formula2>0</formula2>
    </dataValidation>
    <dataValidation allowBlank="true" errorStyle="stop" operator="between" prompt="Enter the name of the Project Lead in cell B5. Enter the Project Start date in cell C6 or allow the sample formula to find the smallest date value from the Gantt Data table.  &#10;Project Start Date: label is in cell B6." showDropDown="false" showErrorMessage="true" showInputMessage="true" sqref="A5" type="none">
      <formula1>0</formula1>
      <formula2>0</formula2>
    </dataValidation>
    <dataValidation allowBlank="true" errorStyle="stop" operator="between" prompt="A Scrolling Increment is in cell C7. &#10;Months for the dates in row 7 are displayed starting in cells I6 through cell BL6.&#10;Do not modify these cells. They are auto updated based on the project start date in cell F6." showDropDown="false" showErrorMessage="true" showInputMessage="true" sqref="A6" type="none">
      <formula1>0</formula1>
      <formula2>0</formula2>
    </dataValidation>
    <dataValidation allowBlank="true" errorStyle="stop" operator="between" prompt="Cells I9 through BL9 contain the day number of the month for the Month represented in the cell block above each date cell and are auto calculated.&#10;Do not modify these cells.&#10;" showDropDown="false" showErrorMessage="true" showInputMessage="true" sqref="A7" type="none">
      <formula1>0</formula1>
      <formula2>0</formula2>
    </dataValidation>
    <dataValidation allowBlank="true" errorStyle="stop" operator="between" prompt="A scrollbar is in cells I8 through BL8. &#10;To jump forward or backward in the timeline, enter a value of 0 or higher in cell C7.&#10;A value of 0 takes you to the beginning of the chart." showDropDown="false" showErrorMessage="true" showInputMessage="true" sqref="A8" type="none">
      <formula1>0</formula1>
      <formula2>0</formula2>
    </dataValidation>
    <dataValidation allowBlank="true" errorStyle="stop" operator="between" prompt="This row contains headers for the project schedule.  B9 through G9 contains schedule information.  Cells I9 through BL9 contain the first letter of each day of the week for the date above that heading.&#10;All project timeline charting is auto generated." showDropDown="false" showErrorMessage="true" showInputMessage="true" sqref="A9" type="none">
      <formula1>0</formula1>
      <formula2>0</formula2>
    </dataValidation>
    <dataValidation allowBlank="true" errorStyle="stop" operator="between" prompt="Enter Project information starting in cell B11 through cell G11. &#10;Enter Milestone Description, select a Category, assign someone to the task, and enter the progress, start date, and number of days for the task to start charting.&#10;" showDropDown="false" showErrorMessage="true" showInputMessage="true" sqref="A11" type="none">
      <formula1>0</formula1>
      <formula2>0</formula2>
    </dataValidation>
    <dataValidation allowBlank="true" errorStyle="stop" operator="between" prompt="This row marks the end of the Gantt milestone data. DO NOT enter anything in this row. &#10;To add more items, insert new rows above this one.&#10;" showDropDown="false" showErrorMessage="true" showInputMessage="true" sqref="A36" type="none">
      <formula1>0</formula1>
      <formula2>0</formula2>
    </dataValidation>
    <dataValidation allowBlank="true" errorStyle="stop" operator="between" prompt="This is an empty row" showDropDown="false" showErrorMessage="true" showInputMessage="true" sqref="A35" type="none">
      <formula1>0</formula1>
      <formula2>0</formula2>
    </dataValidation>
  </dataValidations>
  <printOptions headings="false" gridLines="false" gridLinesSet="true" horizontalCentered="true" verticalCentered="false"/>
  <pageMargins left="0.25" right="0.25" top="0.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extLst>
    <ext xmlns:x14="http://schemas.microsoft.com/office/spreadsheetml/2009/9/main" uri="{78C0D931-6437-407d-A8EE-F0AAD7539E65}">
      <x14:conditionalFormattings>
        <x14:conditionalFormatting xmlns:xm="http://schemas.microsoft.com/office/excel/2006/main">
          <x14:cfRule type="dataBar" id="{8E821938-A7B8-4AF3-8DD6-549519B1FE3A}">
            <x14:dataBar minLength="10" maxLength="90" axisPosition="automatic" gradient="false">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7" id="{7177AA2F-27A4-4947-A9D3-20747DE2A5AE}">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3" id="{DFD31115-CC45-45E1-86CB-40A3457CE6D9}">
            <x14:iconSet iconSet="3Stars" custom="1" reverse="0" showValue="0">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0FD509-FAA6-490F-8E99-57602ADB216E}">
  <ds:schemaRefs>
    <ds:schemaRef ds:uri="http://purl.org/dc/elements/1.1/"/>
    <ds:schemaRef ds:uri="http://schemas.microsoft.com/office/2006/documentManagement/types"/>
    <ds:schemaRef ds:uri="71af3243-3dd4-4a8d-8c0d-dd76da1f02a5"/>
    <ds:schemaRef ds:uri="http://schemas.microsoft.com/office/2006/metadata/properties"/>
    <ds:schemaRef ds:uri="http://schemas.microsoft.com/sharepoint/v3"/>
    <ds:schemaRef ds:uri="230e9df3-be65-4c73-a93b-d1236ebd677e"/>
    <ds:schemaRef ds:uri="http://www.w3.org/XML/1998/namespace"/>
    <ds:schemaRef ds:uri="http://purl.org/dc/terms/"/>
    <ds:schemaRef ds:uri="http://schemas.openxmlformats.org/package/2006/metadata/core-properties"/>
    <ds:schemaRef ds:uri="16c05727-aa75-4e4a-9b5f-8a80a1165891"/>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2023-01-31T06:46:07Z</dcterms:created>
  <dc:creator/>
  <dc:description/>
  <dc:language>en-US</dc:language>
  <cp:lastModifiedBy/>
  <dcterms:modified xsi:type="dcterms:W3CDTF">2025-11-04T22:33:38Z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